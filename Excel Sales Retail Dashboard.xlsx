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8_{EF0A7C91-3C64-455A-B2C6-AAA915A21CD7}" xr6:coauthVersionLast="47" xr6:coauthVersionMax="47" xr10:uidLastSave="{00000000-0000-0000-0000-000000000000}"/>
  <bookViews>
    <workbookView xWindow="-108" yWindow="-108" windowWidth="23256" windowHeight="12456" activeTab="2" xr2:uid="{80B590A0-26F3-4C00-B82F-AB5BC9851E2A}"/>
  </bookViews>
  <sheets>
    <sheet name="Data" sheetId="1" r:id="rId1"/>
    <sheet name="pivot data" sheetId="2" r:id="rId2"/>
    <sheet name="Dashboard" sheetId="3" r:id="rId3"/>
  </sheets>
  <definedNames>
    <definedName name="_xlcn.WorksheetConnection_ExcelDashBoardPracticeFile.xlsxTable1" hidden="1">Table1[]</definedName>
    <definedName name="Slicer_Place">#N/A</definedName>
    <definedName name="Slicer_Products">#N/A</definedName>
    <definedName name="Timeline_Date">#N/A</definedName>
  </definedNames>
  <calcPr calcId="191029"/>
  <pivotCaches>
    <pivotCache cacheId="24" r:id="rId4"/>
    <pivotCache cacheId="27" r:id="rId5"/>
    <pivotCache cacheId="30" r:id="rId6"/>
    <pivotCache cacheId="33" r:id="rId7"/>
    <pivotCache cacheId="36" r:id="rId8"/>
  </pivotCaches>
  <extLst>
    <ext xmlns:x14="http://schemas.microsoft.com/office/spreadsheetml/2009/9/main" uri="{876F7934-8845-4945-9796-88D515C7AA90}">
      <x14:pivotCaches>
        <pivotCache cacheId="5"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 r:id="rId12"/>
      </x15:timelineCachePivotCaches>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Excel DashBoard Practice File.xlsx!Table1"/>
        </x15:modelTables>
        <x15:extLst>
          <ext xmlns:x16="http://schemas.microsoft.com/office/spreadsheetml/2014/11/main" uri="{9835A34E-60A6-4A7C-AAB8-D5F71C897F49}">
            <x16:modelTimeGroupings>
              <x16:modelTimeGrouping tableName="Table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alcChain.xml><?xml version="1.0" encoding="utf-8"?>
<calcChain xmlns="http://schemas.openxmlformats.org/spreadsheetml/2006/main">
  <c r="G279" i="1" l="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C40" i="2"/>
  <c r="C4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4AFB21-20CC-49B8-A30C-9BEF46960F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747061F-D14B-477E-9C48-BFBC23FCD127}" name="WorksheetConnection_Excel DashBoard Practice File.xlsx!Table1" type="102" refreshedVersion="8" minRefreshableVersion="5">
    <extLst>
      <ext xmlns:x15="http://schemas.microsoft.com/office/spreadsheetml/2010/11/main" uri="{DE250136-89BD-433C-8126-D09CA5730AF9}">
        <x15:connection id="Table1" autoDelete="1">
          <x15:rangePr sourceName="_xlcn.WorksheetConnection_ExcelDashBoardPracticeFile.xlsxTable1"/>
        </x15:connection>
      </ext>
    </extLst>
  </connection>
</connections>
</file>

<file path=xl/sharedStrings.xml><?xml version="1.0" encoding="utf-8"?>
<sst xmlns="http://schemas.openxmlformats.org/spreadsheetml/2006/main" count="871" uniqueCount="41">
  <si>
    <t>Date</t>
  </si>
  <si>
    <t>Sales Persons</t>
  </si>
  <si>
    <t>Products</t>
  </si>
  <si>
    <t>Place</t>
  </si>
  <si>
    <t>Price</t>
  </si>
  <si>
    <t>Units</t>
  </si>
  <si>
    <t>Amount</t>
  </si>
  <si>
    <t>Ramesh</t>
  </si>
  <si>
    <t>Furniture</t>
  </si>
  <si>
    <t>Guntur</t>
  </si>
  <si>
    <t>Kiran</t>
  </si>
  <si>
    <t>Vijayawada</t>
  </si>
  <si>
    <t>Gopi</t>
  </si>
  <si>
    <t>LED TV's</t>
  </si>
  <si>
    <t>Bapatla</t>
  </si>
  <si>
    <t>Mahesh</t>
  </si>
  <si>
    <t>4K LED TV's</t>
  </si>
  <si>
    <t>Mobiles</t>
  </si>
  <si>
    <t>Tenali</t>
  </si>
  <si>
    <t>Ganesh</t>
  </si>
  <si>
    <t>Laptops</t>
  </si>
  <si>
    <t>Chirala</t>
  </si>
  <si>
    <t>Speakers</t>
  </si>
  <si>
    <t>Prathap</t>
  </si>
  <si>
    <t>Ongole</t>
  </si>
  <si>
    <t>Row Labels</t>
  </si>
  <si>
    <t>Grand Total</t>
  </si>
  <si>
    <t>Jan</t>
  </si>
  <si>
    <t>Feb</t>
  </si>
  <si>
    <t>Mar</t>
  </si>
  <si>
    <t>Apr</t>
  </si>
  <si>
    <t>May</t>
  </si>
  <si>
    <t>Jun</t>
  </si>
  <si>
    <t>Jul</t>
  </si>
  <si>
    <t>Aug</t>
  </si>
  <si>
    <t>Sep</t>
  </si>
  <si>
    <t>Oct</t>
  </si>
  <si>
    <t>Nov</t>
  </si>
  <si>
    <t>Dec</t>
  </si>
  <si>
    <t>Sum of Amount</t>
  </si>
  <si>
    <t>Count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</si>
</sst>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4" x14ac:knownFonts="1">
    <font>
      <sz val="11"/>
      <color theme="1"/>
      <name val="Aptos Narrow"/>
      <family val="2"/>
      <scheme val="minor"/>
    </font>
    <font>
      <b/>
      <sz val="14"/>
      <color rgb="FFFF0000"/>
      <name val="Aptos Narrow"/>
      <family val="2"/>
      <scheme val="minor"/>
    </font>
    <font>
      <b/>
      <sz val="12"/>
      <color theme="1"/>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theme="4" tint="0.39997558519241921"/>
      </bottom>
      <diagonal/>
    </border>
    <border>
      <left/>
      <right style="thin">
        <color indexed="64"/>
      </right>
      <top style="thin">
        <color indexed="64"/>
      </top>
      <bottom style="thin">
        <color indexed="64"/>
      </bottom>
      <diagonal/>
    </border>
    <border>
      <left/>
      <right style="thin">
        <color indexed="64"/>
      </right>
      <top style="thin">
        <color indexed="64"/>
      </top>
      <bottom style="thin">
        <color theme="4" tint="0.39997558519241921"/>
      </bottom>
      <diagonal/>
    </border>
    <border>
      <left style="thin">
        <color indexed="64"/>
      </left>
      <right/>
      <top style="thin">
        <color indexed="64"/>
      </top>
      <bottom style="thin">
        <color indexed="64"/>
      </bottom>
      <diagonal/>
    </border>
    <border>
      <left style="thin">
        <color indexed="64"/>
      </left>
      <right/>
      <top style="thin">
        <color indexed="64"/>
      </top>
      <bottom style="thin">
        <color theme="4" tint="0.39997558519241921"/>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43" fontId="3" fillId="0" borderId="0" applyFont="0" applyFill="0" applyBorder="0" applyAlignment="0" applyProtection="0"/>
  </cellStyleXfs>
  <cellXfs count="21">
    <xf numFmtId="0" fontId="0" fillId="0" borderId="0" xfId="0"/>
    <xf numFmtId="0" fontId="2" fillId="3" borderId="1" xfId="0" applyFont="1" applyFill="1" applyBorder="1"/>
    <xf numFmtId="0" fontId="2" fillId="0" borderId="1" xfId="0" applyFont="1" applyBorder="1"/>
    <xf numFmtId="0" fontId="2" fillId="0" borderId="2" xfId="0" applyFont="1" applyBorder="1"/>
    <xf numFmtId="14" fontId="2" fillId="3" borderId="3" xfId="0" applyNumberFormat="1" applyFont="1" applyFill="1" applyBorder="1" applyAlignment="1">
      <alignment horizontal="left"/>
    </xf>
    <xf numFmtId="14" fontId="2" fillId="0" borderId="3" xfId="0" applyNumberFormat="1" applyFont="1" applyBorder="1" applyAlignment="1">
      <alignment horizontal="left"/>
    </xf>
    <xf numFmtId="14" fontId="2" fillId="0" borderId="4" xfId="0" applyNumberFormat="1" applyFont="1" applyBorder="1" applyAlignment="1">
      <alignment horizontal="left"/>
    </xf>
    <xf numFmtId="3" fontId="2" fillId="3" borderId="5" xfId="0" applyNumberFormat="1" applyFont="1" applyFill="1" applyBorder="1"/>
    <xf numFmtId="3" fontId="2" fillId="0" borderId="5" xfId="0" applyNumberFormat="1" applyFont="1" applyBorder="1"/>
    <xf numFmtId="3" fontId="2" fillId="0" borderId="6" xfId="0" applyNumberFormat="1" applyFont="1" applyBorder="1"/>
    <xf numFmtId="0" fontId="1" fillId="2" borderId="7" xfId="0" applyFont="1" applyFill="1" applyBorder="1" applyAlignment="1">
      <alignment horizontal="left"/>
    </xf>
    <xf numFmtId="0" fontId="1" fillId="2" borderId="8" xfId="0" applyFont="1" applyFill="1" applyBorder="1"/>
    <xf numFmtId="0" fontId="1" fillId="2" borderId="9" xfId="0" applyFont="1" applyFill="1" applyBorder="1"/>
    <xf numFmtId="14" fontId="2" fillId="0" borderId="10" xfId="0" applyNumberFormat="1" applyFont="1" applyBorder="1" applyAlignment="1">
      <alignment horizontal="left"/>
    </xf>
    <xf numFmtId="0" fontId="2" fillId="0" borderId="11" xfId="0" applyFont="1" applyBorder="1"/>
    <xf numFmtId="3" fontId="2" fillId="0" borderId="12" xfId="0" applyNumberFormat="1" applyFont="1" applyBorder="1"/>
    <xf numFmtId="0" fontId="0" fillId="0" borderId="0" xfId="0" pivotButton="1"/>
    <xf numFmtId="0" fontId="0" fillId="0" borderId="0" xfId="0" applyAlignment="1">
      <alignment horizontal="left"/>
    </xf>
    <xf numFmtId="164" fontId="0" fillId="0" borderId="0" xfId="1" applyNumberFormat="1" applyFont="1"/>
    <xf numFmtId="164" fontId="0" fillId="0" borderId="0" xfId="0" applyNumberFormat="1"/>
    <xf numFmtId="0" fontId="0" fillId="0" borderId="0" xfId="0" applyNumberFormat="1"/>
  </cellXfs>
  <cellStyles count="2">
    <cellStyle name="Comma" xfId="1" builtinId="3"/>
    <cellStyle name="Normal" xfId="0" builtinId="0"/>
  </cellStyles>
  <dxfs count="18">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font>
        <b/>
        <i val="0"/>
        <strike val="0"/>
        <condense val="0"/>
        <extend val="0"/>
        <outline val="0"/>
        <shadow val="0"/>
        <u val="none"/>
        <vertAlign val="baseline"/>
        <sz val="12"/>
        <color theme="1"/>
        <name val="Aptos Narrow"/>
        <family val="2"/>
        <scheme val="minor"/>
      </font>
      <numFmt numFmtId="3" formatCode="#,##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Aptos Narrow"/>
        <family val="2"/>
        <scheme val="minor"/>
      </font>
      <numFmt numFmtId="19" formatCode="dd/mm/yyyy"/>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Narrow"/>
        <family val="2"/>
        <scheme val="minor"/>
      </font>
    </dxf>
    <dxf>
      <border outline="0">
        <bottom style="thin">
          <color indexed="64"/>
        </bottom>
      </border>
    </dxf>
    <dxf>
      <font>
        <b/>
        <i val="0"/>
        <strike val="0"/>
        <condense val="0"/>
        <extend val="0"/>
        <outline val="0"/>
        <shadow val="0"/>
        <u val="none"/>
        <vertAlign val="baseline"/>
        <sz val="14"/>
        <color rgb="FFFF0000"/>
        <name val="Aptos Narrow"/>
        <family val="2"/>
        <scheme val="minor"/>
      </font>
      <fill>
        <patternFill patternType="solid">
          <fgColor indexed="64"/>
          <bgColor rgb="FFFFFF00"/>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11/relationships/timelineCache" Target="timelineCaches/timelineCach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Excel Dashboard (Recovered).xlsx]pivot data!PivotTable1</c:name>
    <c:fmtId val="0"/>
  </c:pivotSource>
  <c:chart>
    <c:autoTitleDeleted val="1"/>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4"/>
          <c:spPr>
            <a:solidFill>
              <a:schemeClr val="tx2">
                <a:lumMod val="50000"/>
                <a:lumOff val="50000"/>
              </a:schemeClr>
            </a:solidFill>
            <a:ln w="9525" cap="flat" cmpd="sng" algn="ctr">
              <a:solidFill>
                <a:schemeClr val="accent1"/>
              </a:solidFill>
              <a:round/>
            </a:ln>
            <a:effectLst/>
          </c:spPr>
        </c:marker>
      </c:pivotFmt>
    </c:pivotFmts>
    <c:plotArea>
      <c:layout/>
      <c:lineChart>
        <c:grouping val="standard"/>
        <c:varyColors val="0"/>
        <c:ser>
          <c:idx val="0"/>
          <c:order val="0"/>
          <c:tx>
            <c:strRef>
              <c:f>'pivot data'!$B$1</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Pt>
            <c:idx val="9"/>
            <c:marker>
              <c:symbol val="circle"/>
              <c:size val="4"/>
              <c:spPr>
                <a:solidFill>
                  <a:schemeClr val="tx2">
                    <a:lumMod val="50000"/>
                    <a:lumOff val="50000"/>
                  </a:schemeClr>
                </a:solidFill>
                <a:ln w="9525" cap="flat" cmpd="sng" algn="ctr">
                  <a:solidFill>
                    <a:schemeClr val="accent1"/>
                  </a:solidFill>
                  <a:round/>
                </a:ln>
                <a:effectLst/>
              </c:spPr>
            </c:marker>
            <c:bubble3D val="0"/>
            <c:extLst>
              <c:ext xmlns:c16="http://schemas.microsoft.com/office/drawing/2014/chart" uri="{C3380CC4-5D6E-409C-BE32-E72D297353CC}">
                <c16:uniqueId val="{00000002-AD40-48DA-9747-092EDFF690FC}"/>
              </c:ext>
            </c:extLst>
          </c:dPt>
          <c:cat>
            <c:strRef>
              <c:f>'pivot data'!$A$2:$A$14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data'!$B$2:$B$14</c:f>
              <c:numCache>
                <c:formatCode>_ * #,##0_ ;_ * \-#,##0_ ;_ * "-"??_ ;_ @_ </c:formatCode>
                <c:ptCount val="12"/>
                <c:pt idx="0">
                  <c:v>1134731</c:v>
                </c:pt>
                <c:pt idx="1">
                  <c:v>2959241</c:v>
                </c:pt>
                <c:pt idx="2">
                  <c:v>190952</c:v>
                </c:pt>
                <c:pt idx="3">
                  <c:v>282446</c:v>
                </c:pt>
                <c:pt idx="4">
                  <c:v>749869</c:v>
                </c:pt>
                <c:pt idx="5">
                  <c:v>425409</c:v>
                </c:pt>
                <c:pt idx="6">
                  <c:v>2655948</c:v>
                </c:pt>
                <c:pt idx="7">
                  <c:v>1571476</c:v>
                </c:pt>
                <c:pt idx="8">
                  <c:v>1324327</c:v>
                </c:pt>
                <c:pt idx="9">
                  <c:v>4179650</c:v>
                </c:pt>
                <c:pt idx="10">
                  <c:v>109550</c:v>
                </c:pt>
                <c:pt idx="11">
                  <c:v>469086</c:v>
                </c:pt>
              </c:numCache>
            </c:numRef>
          </c:val>
          <c:smooth val="0"/>
          <c:extLst>
            <c:ext xmlns:c16="http://schemas.microsoft.com/office/drawing/2014/chart" uri="{C3380CC4-5D6E-409C-BE32-E72D297353CC}">
              <c16:uniqueId val="{00000000-AD40-48DA-9747-092EDFF690FC}"/>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835399840"/>
        <c:axId val="835393360"/>
      </c:lineChart>
      <c:catAx>
        <c:axId val="83539984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35393360"/>
        <c:crosses val="autoZero"/>
        <c:auto val="1"/>
        <c:lblAlgn val="ctr"/>
        <c:lblOffset val="100"/>
        <c:noMultiLvlLbl val="0"/>
      </c:catAx>
      <c:valAx>
        <c:axId val="835393360"/>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35399840"/>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Excel Dashboard (Recovered).xlsx]pivot data!PivotTable2</c:name>
    <c:fmtId val="7"/>
  </c:pivotSource>
  <c:chart>
    <c:autoTitleDeleted val="1"/>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data'!$B$19</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data'!$A$20:$A$21</c:f>
              <c:strCache>
                <c:ptCount val="1"/>
                <c:pt idx="0">
                  <c:v>Bapatla</c:v>
                </c:pt>
              </c:strCache>
            </c:strRef>
          </c:cat>
          <c:val>
            <c:numRef>
              <c:f>'pivot data'!$B$20:$B$21</c:f>
              <c:numCache>
                <c:formatCode>_ * #,##0_ ;_ * \-#,##0_ ;_ * "-"??_ ;_ @_ </c:formatCode>
                <c:ptCount val="1"/>
                <c:pt idx="0">
                  <c:v>16052685</c:v>
                </c:pt>
              </c:numCache>
            </c:numRef>
          </c:val>
          <c:smooth val="0"/>
          <c:extLst>
            <c:ext xmlns:c16="http://schemas.microsoft.com/office/drawing/2014/chart" uri="{C3380CC4-5D6E-409C-BE32-E72D297353CC}">
              <c16:uniqueId val="{00000000-A281-4CBA-8D94-A5C0A070D189}"/>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835402000"/>
        <c:axId val="835392640"/>
      </c:lineChart>
      <c:catAx>
        <c:axId val="83540200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35392640"/>
        <c:crosses val="autoZero"/>
        <c:auto val="1"/>
        <c:lblAlgn val="ctr"/>
        <c:lblOffset val="100"/>
        <c:noMultiLvlLbl val="0"/>
      </c:catAx>
      <c:valAx>
        <c:axId val="835392640"/>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35402000"/>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Excel Dashboard (Recovered).xlsx]pivot data!PivotTable3</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91426071741034"/>
          <c:y val="0.10270774976657329"/>
          <c:w val="0.8269746281714786"/>
          <c:h val="0.68143540880919296"/>
        </c:manualLayout>
      </c:layout>
      <c:barChart>
        <c:barDir val="col"/>
        <c:grouping val="stacked"/>
        <c:varyColors val="0"/>
        <c:ser>
          <c:idx val="0"/>
          <c:order val="0"/>
          <c:tx>
            <c:strRef>
              <c:f>'pivot data'!$B$29</c:f>
              <c:strCache>
                <c:ptCount val="1"/>
                <c:pt idx="0">
                  <c:v>Total</c:v>
                </c:pt>
              </c:strCache>
            </c:strRef>
          </c:tx>
          <c:spPr>
            <a:solidFill>
              <a:schemeClr val="accent1"/>
            </a:solidFill>
            <a:ln>
              <a:noFill/>
            </a:ln>
            <a:effectLst/>
          </c:spPr>
          <c:invertIfNegative val="0"/>
          <c:cat>
            <c:strRef>
              <c:f>'pivot data'!$A$30:$A$36</c:f>
              <c:strCache>
                <c:ptCount val="6"/>
                <c:pt idx="0">
                  <c:v>4K LED TV's</c:v>
                </c:pt>
                <c:pt idx="1">
                  <c:v>Furniture</c:v>
                </c:pt>
                <c:pt idx="2">
                  <c:v>Laptops</c:v>
                </c:pt>
                <c:pt idx="3">
                  <c:v>LED TV's</c:v>
                </c:pt>
                <c:pt idx="4">
                  <c:v>Mobiles</c:v>
                </c:pt>
                <c:pt idx="5">
                  <c:v>Speakers</c:v>
                </c:pt>
              </c:strCache>
            </c:strRef>
          </c:cat>
          <c:val>
            <c:numRef>
              <c:f>'pivot data'!$B$30:$B$36</c:f>
              <c:numCache>
                <c:formatCode>General</c:formatCode>
                <c:ptCount val="6"/>
                <c:pt idx="0">
                  <c:v>8033528</c:v>
                </c:pt>
                <c:pt idx="1">
                  <c:v>1085262</c:v>
                </c:pt>
                <c:pt idx="2">
                  <c:v>5474977</c:v>
                </c:pt>
                <c:pt idx="3">
                  <c:v>481552</c:v>
                </c:pt>
                <c:pt idx="4">
                  <c:v>492878</c:v>
                </c:pt>
                <c:pt idx="5">
                  <c:v>484488</c:v>
                </c:pt>
              </c:numCache>
            </c:numRef>
          </c:val>
          <c:extLst>
            <c:ext xmlns:c16="http://schemas.microsoft.com/office/drawing/2014/chart" uri="{C3380CC4-5D6E-409C-BE32-E72D297353CC}">
              <c16:uniqueId val="{00000000-8273-4EC2-924F-F15BEE5A5D70}"/>
            </c:ext>
          </c:extLst>
        </c:ser>
        <c:dLbls>
          <c:showLegendKey val="0"/>
          <c:showVal val="0"/>
          <c:showCatName val="0"/>
          <c:showSerName val="0"/>
          <c:showPercent val="0"/>
          <c:showBubbleSize val="0"/>
        </c:dLbls>
        <c:gapWidth val="150"/>
        <c:overlap val="100"/>
        <c:axId val="841264824"/>
        <c:axId val="841263384"/>
      </c:barChart>
      <c:catAx>
        <c:axId val="841264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263384"/>
        <c:crosses val="autoZero"/>
        <c:auto val="1"/>
        <c:lblAlgn val="ctr"/>
        <c:lblOffset val="100"/>
        <c:noMultiLvlLbl val="0"/>
      </c:catAx>
      <c:valAx>
        <c:axId val="841263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264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Excel Dashboard (Recovered).xlsx]pivot data!PivotTable1</c:name>
    <c:fmtId val="5"/>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tx2">
                <a:lumMod val="50000"/>
                <a:lumOff val="50000"/>
              </a:schemeClr>
            </a:solidFill>
            <a:ln w="9525" cap="flat" cmpd="sng" algn="ctr">
              <a:solidFill>
                <a:schemeClr val="accent1"/>
              </a:solidFill>
              <a:round/>
            </a:ln>
            <a:effectLst/>
          </c:spPr>
        </c:marker>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tx2">
                <a:lumMod val="50000"/>
                <a:lumOff val="50000"/>
              </a:schemeClr>
            </a:solidFill>
            <a:ln w="9525" cap="flat" cmpd="sng" algn="ctr">
              <a:solidFill>
                <a:schemeClr val="accent1"/>
              </a:solidFill>
              <a:round/>
            </a:ln>
            <a:effectLst/>
          </c:spPr>
        </c:marker>
      </c:pivotFmt>
    </c:pivotFmts>
    <c:plotArea>
      <c:layout/>
      <c:lineChart>
        <c:grouping val="standard"/>
        <c:varyColors val="0"/>
        <c:ser>
          <c:idx val="0"/>
          <c:order val="0"/>
          <c:tx>
            <c:strRef>
              <c:f>'pivot data'!$B$1</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Pt>
            <c:idx val="9"/>
            <c:marker>
              <c:symbol val="circle"/>
              <c:size val="4"/>
              <c:spPr>
                <a:solidFill>
                  <a:schemeClr val="tx2">
                    <a:lumMod val="50000"/>
                    <a:lumOff val="50000"/>
                  </a:schemeClr>
                </a:solidFill>
                <a:ln w="9525" cap="flat" cmpd="sng" algn="ctr">
                  <a:solidFill>
                    <a:schemeClr val="accent1"/>
                  </a:solidFill>
                  <a:round/>
                </a:ln>
                <a:effectLst/>
              </c:spPr>
            </c:marker>
            <c:bubble3D val="0"/>
            <c:extLst>
              <c:ext xmlns:c16="http://schemas.microsoft.com/office/drawing/2014/chart" uri="{C3380CC4-5D6E-409C-BE32-E72D297353CC}">
                <c16:uniqueId val="{00000000-A996-4703-84E9-07F4CFAE11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data'!$A$2:$A$14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data'!$B$2:$B$14</c:f>
              <c:numCache>
                <c:formatCode>_ * #,##0_ ;_ * \-#,##0_ ;_ * "-"??_ ;_ @_ </c:formatCode>
                <c:ptCount val="12"/>
                <c:pt idx="0">
                  <c:v>1134731</c:v>
                </c:pt>
                <c:pt idx="1">
                  <c:v>2959241</c:v>
                </c:pt>
                <c:pt idx="2">
                  <c:v>190952</c:v>
                </c:pt>
                <c:pt idx="3">
                  <c:v>282446</c:v>
                </c:pt>
                <c:pt idx="4">
                  <c:v>749869</c:v>
                </c:pt>
                <c:pt idx="5">
                  <c:v>425409</c:v>
                </c:pt>
                <c:pt idx="6">
                  <c:v>2655948</c:v>
                </c:pt>
                <c:pt idx="7">
                  <c:v>1571476</c:v>
                </c:pt>
                <c:pt idx="8">
                  <c:v>1324327</c:v>
                </c:pt>
                <c:pt idx="9">
                  <c:v>4179650</c:v>
                </c:pt>
                <c:pt idx="10">
                  <c:v>109550</c:v>
                </c:pt>
                <c:pt idx="11">
                  <c:v>469086</c:v>
                </c:pt>
              </c:numCache>
            </c:numRef>
          </c:val>
          <c:smooth val="0"/>
          <c:extLst>
            <c:ext xmlns:c16="http://schemas.microsoft.com/office/drawing/2014/chart" uri="{C3380CC4-5D6E-409C-BE32-E72D297353CC}">
              <c16:uniqueId val="{00000001-A996-4703-84E9-07F4CFAE11C1}"/>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835399840"/>
        <c:axId val="835393360"/>
      </c:lineChart>
      <c:catAx>
        <c:axId val="83539984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35393360"/>
        <c:crosses val="autoZero"/>
        <c:auto val="1"/>
        <c:lblAlgn val="ctr"/>
        <c:lblOffset val="100"/>
        <c:noMultiLvlLbl val="0"/>
      </c:catAx>
      <c:valAx>
        <c:axId val="835393360"/>
        <c:scaling>
          <c:orientation val="minMax"/>
        </c:scaling>
        <c:delete val="1"/>
        <c:axPos val="l"/>
        <c:numFmt formatCode="_ * #,##0_ ;_ * \-#,##0_ ;_ * &quot;-&quot;??_ ;_ @_ " sourceLinked="1"/>
        <c:majorTickMark val="none"/>
        <c:minorTickMark val="none"/>
        <c:tickLblPos val="nextTo"/>
        <c:crossAx val="835399840"/>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Excel Dashboard (Recovered).xlsx]pivot data!PivotTable2</c:name>
    <c:fmtId val="10"/>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data'!$B$19</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data'!$A$20:$A$21</c:f>
              <c:strCache>
                <c:ptCount val="1"/>
                <c:pt idx="0">
                  <c:v>Bapatla</c:v>
                </c:pt>
              </c:strCache>
            </c:strRef>
          </c:cat>
          <c:val>
            <c:numRef>
              <c:f>'pivot data'!$B$20:$B$21</c:f>
              <c:numCache>
                <c:formatCode>_ * #,##0_ ;_ * \-#,##0_ ;_ * "-"??_ ;_ @_ </c:formatCode>
                <c:ptCount val="1"/>
                <c:pt idx="0">
                  <c:v>16052685</c:v>
                </c:pt>
              </c:numCache>
            </c:numRef>
          </c:val>
          <c:smooth val="0"/>
          <c:extLst>
            <c:ext xmlns:c16="http://schemas.microsoft.com/office/drawing/2014/chart" uri="{C3380CC4-5D6E-409C-BE32-E72D297353CC}">
              <c16:uniqueId val="{00000000-EAAB-4C6E-AF6C-C1F7B0977495}"/>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835402000"/>
        <c:axId val="835392640"/>
      </c:lineChart>
      <c:catAx>
        <c:axId val="83540200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35392640"/>
        <c:crosses val="autoZero"/>
        <c:auto val="1"/>
        <c:lblAlgn val="ctr"/>
        <c:lblOffset val="100"/>
        <c:noMultiLvlLbl val="0"/>
      </c:catAx>
      <c:valAx>
        <c:axId val="835392640"/>
        <c:scaling>
          <c:orientation val="minMax"/>
        </c:scaling>
        <c:delete val="1"/>
        <c:axPos val="l"/>
        <c:numFmt formatCode="_ * #,##0_ ;_ * \-#,##0_ ;_ * &quot;-&quot;??_ ;_ @_ " sourceLinked="1"/>
        <c:majorTickMark val="none"/>
        <c:minorTickMark val="none"/>
        <c:tickLblPos val="nextTo"/>
        <c:crossAx val="835402000"/>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Excel Dashboard (Recovered).xlsx]pivot data!PivotTable3</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barChart>
        <c:barDir val="col"/>
        <c:grouping val="stacked"/>
        <c:varyColors val="0"/>
        <c:ser>
          <c:idx val="0"/>
          <c:order val="0"/>
          <c:tx>
            <c:strRef>
              <c:f>'pivot data'!$B$29</c:f>
              <c:strCache>
                <c:ptCount val="1"/>
                <c:pt idx="0">
                  <c:v>Total</c:v>
                </c:pt>
              </c:strCache>
            </c:strRef>
          </c:tx>
          <c:spPr>
            <a:solidFill>
              <a:schemeClr val="accent1"/>
            </a:solidFill>
            <a:ln>
              <a:noFill/>
            </a:ln>
            <a:effectLst/>
          </c:spPr>
          <c:invertIfNegative val="0"/>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data'!$A$30:$A$36</c:f>
              <c:strCache>
                <c:ptCount val="6"/>
                <c:pt idx="0">
                  <c:v>4K LED TV's</c:v>
                </c:pt>
                <c:pt idx="1">
                  <c:v>Furniture</c:v>
                </c:pt>
                <c:pt idx="2">
                  <c:v>Laptops</c:v>
                </c:pt>
                <c:pt idx="3">
                  <c:v>LED TV's</c:v>
                </c:pt>
                <c:pt idx="4">
                  <c:v>Mobiles</c:v>
                </c:pt>
                <c:pt idx="5">
                  <c:v>Speakers</c:v>
                </c:pt>
              </c:strCache>
            </c:strRef>
          </c:cat>
          <c:val>
            <c:numRef>
              <c:f>'pivot data'!$B$30:$B$36</c:f>
              <c:numCache>
                <c:formatCode>General</c:formatCode>
                <c:ptCount val="6"/>
                <c:pt idx="0">
                  <c:v>8033528</c:v>
                </c:pt>
                <c:pt idx="1">
                  <c:v>1085262</c:v>
                </c:pt>
                <c:pt idx="2">
                  <c:v>5474977</c:v>
                </c:pt>
                <c:pt idx="3">
                  <c:v>481552</c:v>
                </c:pt>
                <c:pt idx="4">
                  <c:v>492878</c:v>
                </c:pt>
                <c:pt idx="5">
                  <c:v>484488</c:v>
                </c:pt>
              </c:numCache>
            </c:numRef>
          </c:val>
          <c:extLst>
            <c:ext xmlns:c16="http://schemas.microsoft.com/office/drawing/2014/chart" uri="{C3380CC4-5D6E-409C-BE32-E72D297353CC}">
              <c16:uniqueId val="{00000000-7861-4C8C-AC1B-4E553C4846A9}"/>
            </c:ext>
          </c:extLst>
        </c:ser>
        <c:dLbls>
          <c:showLegendKey val="0"/>
          <c:showVal val="0"/>
          <c:showCatName val="0"/>
          <c:showSerName val="0"/>
          <c:showPercent val="0"/>
          <c:showBubbleSize val="0"/>
        </c:dLbls>
        <c:gapWidth val="150"/>
        <c:overlap val="100"/>
        <c:axId val="841264824"/>
        <c:axId val="841263384"/>
      </c:barChart>
      <c:catAx>
        <c:axId val="841264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263384"/>
        <c:crosses val="autoZero"/>
        <c:auto val="1"/>
        <c:lblAlgn val="ctr"/>
        <c:lblOffset val="100"/>
        <c:noMultiLvlLbl val="0"/>
      </c:catAx>
      <c:valAx>
        <c:axId val="841263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264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628650</xdr:colOff>
      <xdr:row>1</xdr:row>
      <xdr:rowOff>171450</xdr:rowOff>
    </xdr:from>
    <xdr:to>
      <xdr:col>9</xdr:col>
      <xdr:colOff>506730</xdr:colOff>
      <xdr:row>12</xdr:row>
      <xdr:rowOff>99060</xdr:rowOff>
    </xdr:to>
    <xdr:graphicFrame macro="">
      <xdr:nvGraphicFramePr>
        <xdr:cNvPr id="5" name="Chart 4">
          <a:extLst>
            <a:ext uri="{FF2B5EF4-FFF2-40B4-BE49-F238E27FC236}">
              <a16:creationId xmlns:a16="http://schemas.microsoft.com/office/drawing/2014/main" id="{BC6F5E6D-4EDB-63BA-1286-FBF6AF88D5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102870</xdr:colOff>
      <xdr:row>17</xdr:row>
      <xdr:rowOff>152400</xdr:rowOff>
    </xdr:from>
    <xdr:to>
      <xdr:col>9</xdr:col>
      <xdr:colOff>651510</xdr:colOff>
      <xdr:row>24</xdr:row>
      <xdr:rowOff>129540</xdr:rowOff>
    </xdr:to>
    <xdr:graphicFrame macro="">
      <xdr:nvGraphicFramePr>
        <xdr:cNvPr id="6" name="Chart 5">
          <a:extLst>
            <a:ext uri="{FF2B5EF4-FFF2-40B4-BE49-F238E27FC236}">
              <a16:creationId xmlns:a16="http://schemas.microsoft.com/office/drawing/2014/main" id="{720AEDF1-4CAB-5C7B-2074-E9C5C2855F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34290</xdr:colOff>
      <xdr:row>28</xdr:row>
      <xdr:rowOff>72390</xdr:rowOff>
    </xdr:from>
    <xdr:to>
      <xdr:col>9</xdr:col>
      <xdr:colOff>582930</xdr:colOff>
      <xdr:row>36</xdr:row>
      <xdr:rowOff>30480</xdr:rowOff>
    </xdr:to>
    <xdr:graphicFrame macro="">
      <xdr:nvGraphicFramePr>
        <xdr:cNvPr id="7" name="Chart 6">
          <a:extLst>
            <a:ext uri="{FF2B5EF4-FFF2-40B4-BE49-F238E27FC236}">
              <a16:creationId xmlns:a16="http://schemas.microsoft.com/office/drawing/2014/main" id="{A3C776F3-79B4-B7C1-F0F4-5FCEE133EB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76200</xdr:colOff>
      <xdr:row>34</xdr:row>
      <xdr:rowOff>152400</xdr:rowOff>
    </xdr:to>
    <xdr:sp macro="" textlink="">
      <xdr:nvSpPr>
        <xdr:cNvPr id="3" name="Rectangle 2">
          <a:extLst>
            <a:ext uri="{FF2B5EF4-FFF2-40B4-BE49-F238E27FC236}">
              <a16:creationId xmlns:a16="http://schemas.microsoft.com/office/drawing/2014/main" id="{C97B1307-12F3-A7D3-AABF-04E6A63E9631}"/>
            </a:ext>
          </a:extLst>
        </xdr:cNvPr>
        <xdr:cNvSpPr/>
      </xdr:nvSpPr>
      <xdr:spPr>
        <a:xfrm>
          <a:off x="0" y="0"/>
          <a:ext cx="14127480" cy="6111240"/>
        </a:xfrm>
        <a:prstGeom prst="rect">
          <a:avLst/>
        </a:prstGeom>
        <a:solidFill>
          <a:schemeClr val="tx2">
            <a:lumMod val="50000"/>
            <a:lumOff val="50000"/>
          </a:schemeClr>
        </a:solidFill>
        <a:ln w="381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129540</xdr:colOff>
      <xdr:row>0</xdr:row>
      <xdr:rowOff>0</xdr:rowOff>
    </xdr:from>
    <xdr:to>
      <xdr:col>21</xdr:col>
      <xdr:colOff>0</xdr:colOff>
      <xdr:row>34</xdr:row>
      <xdr:rowOff>152400</xdr:rowOff>
    </xdr:to>
    <xdr:sp macro="" textlink="">
      <xdr:nvSpPr>
        <xdr:cNvPr id="5" name="Rectangle 4">
          <a:extLst>
            <a:ext uri="{FF2B5EF4-FFF2-40B4-BE49-F238E27FC236}">
              <a16:creationId xmlns:a16="http://schemas.microsoft.com/office/drawing/2014/main" id="{97F9DFC0-7DBB-BEAD-177D-913EE1F630CF}"/>
            </a:ext>
          </a:extLst>
        </xdr:cNvPr>
        <xdr:cNvSpPr/>
      </xdr:nvSpPr>
      <xdr:spPr>
        <a:xfrm>
          <a:off x="2110740" y="0"/>
          <a:ext cx="11940540" cy="6111240"/>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243840</xdr:colOff>
      <xdr:row>0</xdr:row>
      <xdr:rowOff>83820</xdr:rowOff>
    </xdr:from>
    <xdr:to>
      <xdr:col>11</xdr:col>
      <xdr:colOff>563880</xdr:colOff>
      <xdr:row>8</xdr:row>
      <xdr:rowOff>106680</xdr:rowOff>
    </xdr:to>
    <mc:AlternateContent xmlns:mc="http://schemas.openxmlformats.org/markup-compatibility/2006" xmlns:tsle="http://schemas.microsoft.com/office/drawing/2012/timeslicer">
      <mc:Choice Requires="tsle">
        <xdr:graphicFrame macro="">
          <xdr:nvGraphicFramePr>
            <xdr:cNvPr id="6" name="Date 1">
              <a:extLst>
                <a:ext uri="{FF2B5EF4-FFF2-40B4-BE49-F238E27FC236}">
                  <a16:creationId xmlns:a16="http://schemas.microsoft.com/office/drawing/2014/main" id="{B8C774E1-FAF1-48E5-B441-FC303751D098}"/>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225040" y="83820"/>
              <a:ext cx="5684520" cy="14249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22860</xdr:colOff>
      <xdr:row>0</xdr:row>
      <xdr:rowOff>76200</xdr:rowOff>
    </xdr:from>
    <xdr:to>
      <xdr:col>21</xdr:col>
      <xdr:colOff>2822</xdr:colOff>
      <xdr:row>8</xdr:row>
      <xdr:rowOff>121920</xdr:rowOff>
    </xdr:to>
    <mc:AlternateContent xmlns:mc="http://schemas.openxmlformats.org/markup-compatibility/2006" xmlns:a14="http://schemas.microsoft.com/office/drawing/2010/main">
      <mc:Choice Requires="a14">
        <xdr:graphicFrame macro="">
          <xdr:nvGraphicFramePr>
            <xdr:cNvPr id="7" name="Place 1">
              <a:extLst>
                <a:ext uri="{FF2B5EF4-FFF2-40B4-BE49-F238E27FC236}">
                  <a16:creationId xmlns:a16="http://schemas.microsoft.com/office/drawing/2014/main" id="{FC89B277-FB45-4B95-8726-B3D8A471AEE0}"/>
                </a:ext>
              </a:extLst>
            </xdr:cNvPr>
            <xdr:cNvGraphicFramePr/>
          </xdr:nvGraphicFramePr>
          <xdr:xfrm>
            <a:off x="0" y="0"/>
            <a:ext cx="0" cy="0"/>
          </xdr:xfrm>
          <a:graphic>
            <a:graphicData uri="http://schemas.microsoft.com/office/drawing/2010/slicer">
              <sle:slicer xmlns:sle="http://schemas.microsoft.com/office/drawing/2010/slicer" name="Place 1"/>
            </a:graphicData>
          </a:graphic>
        </xdr:graphicFrame>
      </mc:Choice>
      <mc:Fallback xmlns="">
        <xdr:sp macro="" textlink="">
          <xdr:nvSpPr>
            <xdr:cNvPr id="0" name=""/>
            <xdr:cNvSpPr>
              <a:spLocks noTextEdit="1"/>
            </xdr:cNvSpPr>
          </xdr:nvSpPr>
          <xdr:spPr>
            <a:xfrm>
              <a:off x="8039100" y="76200"/>
              <a:ext cx="595122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251460</xdr:colOff>
      <xdr:row>8</xdr:row>
      <xdr:rowOff>160021</xdr:rowOff>
    </xdr:from>
    <xdr:to>
      <xdr:col>21</xdr:col>
      <xdr:colOff>2822</xdr:colOff>
      <xdr:row>12</xdr:row>
      <xdr:rowOff>76201</xdr:rowOff>
    </xdr:to>
    <mc:AlternateContent xmlns:mc="http://schemas.openxmlformats.org/markup-compatibility/2006" xmlns:a14="http://schemas.microsoft.com/office/drawing/2010/main">
      <mc:Choice Requires="a14">
        <xdr:graphicFrame macro="">
          <xdr:nvGraphicFramePr>
            <xdr:cNvPr id="8" name="Products 1">
              <a:extLst>
                <a:ext uri="{FF2B5EF4-FFF2-40B4-BE49-F238E27FC236}">
                  <a16:creationId xmlns:a16="http://schemas.microsoft.com/office/drawing/2014/main" id="{88CBBBC8-0449-41A5-B6CB-1386572275BC}"/>
                </a:ext>
              </a:extLst>
            </xdr:cNvPr>
            <xdr:cNvGraphicFramePr/>
          </xdr:nvGraphicFramePr>
          <xdr:xfrm>
            <a:off x="0" y="0"/>
            <a:ext cx="0" cy="0"/>
          </xdr:xfrm>
          <a:graphic>
            <a:graphicData uri="http://schemas.microsoft.com/office/drawing/2010/slicer">
              <sle:slicer xmlns:sle="http://schemas.microsoft.com/office/drawing/2010/slicer" name="Products 1"/>
            </a:graphicData>
          </a:graphic>
        </xdr:graphicFrame>
      </mc:Choice>
      <mc:Fallback xmlns="">
        <xdr:sp macro="" textlink="">
          <xdr:nvSpPr>
            <xdr:cNvPr id="0" name=""/>
            <xdr:cNvSpPr>
              <a:spLocks noTextEdit="1"/>
            </xdr:cNvSpPr>
          </xdr:nvSpPr>
          <xdr:spPr>
            <a:xfrm>
              <a:off x="2232660" y="1562101"/>
              <a:ext cx="11757660" cy="61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190500</xdr:colOff>
      <xdr:row>12</xdr:row>
      <xdr:rowOff>160020</xdr:rowOff>
    </xdr:from>
    <xdr:to>
      <xdr:col>4</xdr:col>
      <xdr:colOff>182880</xdr:colOff>
      <xdr:row>16</xdr:row>
      <xdr:rowOff>15240</xdr:rowOff>
    </xdr:to>
    <xdr:pic>
      <xdr:nvPicPr>
        <xdr:cNvPr id="10" name="Graphic 9" descr="Bar chart">
          <a:extLst>
            <a:ext uri="{FF2B5EF4-FFF2-40B4-BE49-F238E27FC236}">
              <a16:creationId xmlns:a16="http://schemas.microsoft.com/office/drawing/2014/main" id="{8C395AD6-4195-E1E3-6FE0-435F31AF0FB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71700" y="2263140"/>
          <a:ext cx="662940" cy="556260"/>
        </a:xfrm>
        <a:prstGeom prst="rect">
          <a:avLst/>
        </a:prstGeom>
      </xdr:spPr>
    </xdr:pic>
    <xdr:clientData/>
  </xdr:twoCellAnchor>
  <xdr:twoCellAnchor>
    <xdr:from>
      <xdr:col>4</xdr:col>
      <xdr:colOff>167640</xdr:colOff>
      <xdr:row>13</xdr:row>
      <xdr:rowOff>45720</xdr:rowOff>
    </xdr:from>
    <xdr:to>
      <xdr:col>6</xdr:col>
      <xdr:colOff>114300</xdr:colOff>
      <xdr:row>16</xdr:row>
      <xdr:rowOff>22860</xdr:rowOff>
    </xdr:to>
    <xdr:sp macro="" textlink="">
      <xdr:nvSpPr>
        <xdr:cNvPr id="11" name="Rectangle: Rounded Corners 10">
          <a:extLst>
            <a:ext uri="{FF2B5EF4-FFF2-40B4-BE49-F238E27FC236}">
              <a16:creationId xmlns:a16="http://schemas.microsoft.com/office/drawing/2014/main" id="{7C48BBAE-89CE-DDF7-DBA6-E8E135E1B6EE}"/>
            </a:ext>
          </a:extLst>
        </xdr:cNvPr>
        <xdr:cNvSpPr/>
      </xdr:nvSpPr>
      <xdr:spPr>
        <a:xfrm>
          <a:off x="2819400" y="2324100"/>
          <a:ext cx="1287780" cy="5029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100" b="1">
              <a:solidFill>
                <a:schemeClr val="tx2">
                  <a:lumMod val="75000"/>
                  <a:lumOff val="25000"/>
                </a:schemeClr>
              </a:solidFill>
            </a:rPr>
            <a:t>Analytics</a:t>
          </a:r>
        </a:p>
      </xdr:txBody>
    </xdr:sp>
    <xdr:clientData/>
  </xdr:twoCellAnchor>
  <xdr:twoCellAnchor>
    <xdr:from>
      <xdr:col>3</xdr:col>
      <xdr:colOff>281940</xdr:colOff>
      <xdr:row>16</xdr:row>
      <xdr:rowOff>76200</xdr:rowOff>
    </xdr:from>
    <xdr:to>
      <xdr:col>6</xdr:col>
      <xdr:colOff>510540</xdr:colOff>
      <xdr:row>20</xdr:row>
      <xdr:rowOff>22860</xdr:rowOff>
    </xdr:to>
    <xdr:sp macro="" textlink="">
      <xdr:nvSpPr>
        <xdr:cNvPr id="12" name="Rectangle: Rounded Corners 11">
          <a:extLst>
            <a:ext uri="{FF2B5EF4-FFF2-40B4-BE49-F238E27FC236}">
              <a16:creationId xmlns:a16="http://schemas.microsoft.com/office/drawing/2014/main" id="{07752DDF-19AD-D738-4E25-FB1399830DB9}"/>
            </a:ext>
          </a:extLst>
        </xdr:cNvPr>
        <xdr:cNvSpPr/>
      </xdr:nvSpPr>
      <xdr:spPr>
        <a:xfrm>
          <a:off x="2263140" y="2880360"/>
          <a:ext cx="2240280" cy="64770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617220</xdr:colOff>
      <xdr:row>16</xdr:row>
      <xdr:rowOff>76200</xdr:rowOff>
    </xdr:from>
    <xdr:to>
      <xdr:col>6</xdr:col>
      <xdr:colOff>472440</xdr:colOff>
      <xdr:row>20</xdr:row>
      <xdr:rowOff>22860</xdr:rowOff>
    </xdr:to>
    <xdr:sp macro="" textlink="">
      <xdr:nvSpPr>
        <xdr:cNvPr id="13" name="Rectangle: Rounded Corners 12">
          <a:extLst>
            <a:ext uri="{FF2B5EF4-FFF2-40B4-BE49-F238E27FC236}">
              <a16:creationId xmlns:a16="http://schemas.microsoft.com/office/drawing/2014/main" id="{23B93903-459D-4F46-A0F4-743FBCF40DB6}"/>
            </a:ext>
          </a:extLst>
        </xdr:cNvPr>
        <xdr:cNvSpPr/>
      </xdr:nvSpPr>
      <xdr:spPr>
        <a:xfrm>
          <a:off x="2598420" y="2880360"/>
          <a:ext cx="1866900" cy="6477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7</xdr:col>
      <xdr:colOff>182880</xdr:colOff>
      <xdr:row>16</xdr:row>
      <xdr:rowOff>83820</xdr:rowOff>
    </xdr:from>
    <xdr:to>
      <xdr:col>10</xdr:col>
      <xdr:colOff>411480</xdr:colOff>
      <xdr:row>20</xdr:row>
      <xdr:rowOff>30480</xdr:rowOff>
    </xdr:to>
    <xdr:sp macro="" textlink="">
      <xdr:nvSpPr>
        <xdr:cNvPr id="16" name="Rectangle: Rounded Corners 15">
          <a:extLst>
            <a:ext uri="{FF2B5EF4-FFF2-40B4-BE49-F238E27FC236}">
              <a16:creationId xmlns:a16="http://schemas.microsoft.com/office/drawing/2014/main" id="{5AFB35BF-BB62-4660-B07C-245FCA6C85A6}"/>
            </a:ext>
          </a:extLst>
        </xdr:cNvPr>
        <xdr:cNvSpPr/>
      </xdr:nvSpPr>
      <xdr:spPr>
        <a:xfrm>
          <a:off x="4846320" y="2887980"/>
          <a:ext cx="2240280" cy="64770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518160</xdr:colOff>
      <xdr:row>16</xdr:row>
      <xdr:rowOff>76200</xdr:rowOff>
    </xdr:from>
    <xdr:to>
      <xdr:col>10</xdr:col>
      <xdr:colOff>373380</xdr:colOff>
      <xdr:row>20</xdr:row>
      <xdr:rowOff>22860</xdr:rowOff>
    </xdr:to>
    <xdr:sp macro="" textlink="">
      <xdr:nvSpPr>
        <xdr:cNvPr id="17" name="Rectangle: Rounded Corners 16">
          <a:extLst>
            <a:ext uri="{FF2B5EF4-FFF2-40B4-BE49-F238E27FC236}">
              <a16:creationId xmlns:a16="http://schemas.microsoft.com/office/drawing/2014/main" id="{35EF26F8-E660-4D61-956A-08962BAC794A}"/>
            </a:ext>
          </a:extLst>
        </xdr:cNvPr>
        <xdr:cNvSpPr/>
      </xdr:nvSpPr>
      <xdr:spPr>
        <a:xfrm>
          <a:off x="5181600" y="2880360"/>
          <a:ext cx="1866900" cy="6477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327660</xdr:colOff>
      <xdr:row>21</xdr:row>
      <xdr:rowOff>30480</xdr:rowOff>
    </xdr:from>
    <xdr:to>
      <xdr:col>11</xdr:col>
      <xdr:colOff>502920</xdr:colOff>
      <xdr:row>33</xdr:row>
      <xdr:rowOff>167640</xdr:rowOff>
    </xdr:to>
    <xdr:sp macro="" textlink="">
      <xdr:nvSpPr>
        <xdr:cNvPr id="19" name="Rectangle 18">
          <a:extLst>
            <a:ext uri="{FF2B5EF4-FFF2-40B4-BE49-F238E27FC236}">
              <a16:creationId xmlns:a16="http://schemas.microsoft.com/office/drawing/2014/main" id="{52D1A00D-4520-45BA-4ADA-246567BBEB2F}"/>
            </a:ext>
          </a:extLst>
        </xdr:cNvPr>
        <xdr:cNvSpPr/>
      </xdr:nvSpPr>
      <xdr:spPr>
        <a:xfrm>
          <a:off x="2308860" y="3710940"/>
          <a:ext cx="5539740" cy="2240280"/>
        </a:xfrm>
        <a:prstGeom prst="rect">
          <a:avLst/>
        </a:prstGeom>
        <a:solidFill>
          <a:schemeClr val="bg2"/>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121920</xdr:colOff>
      <xdr:row>13</xdr:row>
      <xdr:rowOff>15240</xdr:rowOff>
    </xdr:from>
    <xdr:to>
      <xdr:col>20</xdr:col>
      <xdr:colOff>548640</xdr:colOff>
      <xdr:row>22</xdr:row>
      <xdr:rowOff>129540</xdr:rowOff>
    </xdr:to>
    <xdr:sp macro="" textlink="">
      <xdr:nvSpPr>
        <xdr:cNvPr id="20" name="Rectangle 19">
          <a:extLst>
            <a:ext uri="{FF2B5EF4-FFF2-40B4-BE49-F238E27FC236}">
              <a16:creationId xmlns:a16="http://schemas.microsoft.com/office/drawing/2014/main" id="{9F725EB7-1A2D-437F-924A-D454EBF487CE}"/>
            </a:ext>
          </a:extLst>
        </xdr:cNvPr>
        <xdr:cNvSpPr/>
      </xdr:nvSpPr>
      <xdr:spPr>
        <a:xfrm>
          <a:off x="8138160" y="2293620"/>
          <a:ext cx="5791200" cy="1691640"/>
        </a:xfrm>
        <a:prstGeom prst="rect">
          <a:avLst/>
        </a:prstGeom>
        <a:solidFill>
          <a:schemeClr val="bg2"/>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152400</xdr:colOff>
      <xdr:row>23</xdr:row>
      <xdr:rowOff>76200</xdr:rowOff>
    </xdr:from>
    <xdr:to>
      <xdr:col>20</xdr:col>
      <xdr:colOff>525780</xdr:colOff>
      <xdr:row>33</xdr:row>
      <xdr:rowOff>129540</xdr:rowOff>
    </xdr:to>
    <xdr:sp macro="" textlink="">
      <xdr:nvSpPr>
        <xdr:cNvPr id="21" name="Rectangle 20">
          <a:extLst>
            <a:ext uri="{FF2B5EF4-FFF2-40B4-BE49-F238E27FC236}">
              <a16:creationId xmlns:a16="http://schemas.microsoft.com/office/drawing/2014/main" id="{94F87ED0-9AB5-4ED6-A59B-7959C278B1A1}"/>
            </a:ext>
          </a:extLst>
        </xdr:cNvPr>
        <xdr:cNvSpPr/>
      </xdr:nvSpPr>
      <xdr:spPr>
        <a:xfrm>
          <a:off x="8168640" y="4107180"/>
          <a:ext cx="5737860" cy="1805940"/>
        </a:xfrm>
        <a:prstGeom prst="rect">
          <a:avLst/>
        </a:prstGeom>
        <a:solidFill>
          <a:schemeClr val="bg2"/>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182880</xdr:colOff>
      <xdr:row>7</xdr:row>
      <xdr:rowOff>99060</xdr:rowOff>
    </xdr:from>
    <xdr:to>
      <xdr:col>2</xdr:col>
      <xdr:colOff>586740</xdr:colOff>
      <xdr:row>10</xdr:row>
      <xdr:rowOff>114300</xdr:rowOff>
    </xdr:to>
    <xdr:sp macro="" textlink="">
      <xdr:nvSpPr>
        <xdr:cNvPr id="22" name="Rectangle: Rounded Corners 21">
          <a:extLst>
            <a:ext uri="{FF2B5EF4-FFF2-40B4-BE49-F238E27FC236}">
              <a16:creationId xmlns:a16="http://schemas.microsoft.com/office/drawing/2014/main" id="{865329F4-C954-8573-9A56-CFFBF78F2277}"/>
            </a:ext>
          </a:extLst>
        </xdr:cNvPr>
        <xdr:cNvSpPr/>
      </xdr:nvSpPr>
      <xdr:spPr>
        <a:xfrm>
          <a:off x="182880" y="1325880"/>
          <a:ext cx="1744980" cy="541020"/>
        </a:xfrm>
        <a:prstGeom prst="roundRect">
          <a:avLst/>
        </a:prstGeom>
        <a:solidFill>
          <a:schemeClr val="bg1"/>
        </a:solid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rPr>
            <a:t>DASH</a:t>
          </a:r>
          <a:r>
            <a:rPr lang="en-IN" sz="2000" b="1" baseline="0">
              <a:solidFill>
                <a:schemeClr val="tx1"/>
              </a:solidFill>
            </a:rPr>
            <a:t> BOARD</a:t>
          </a:r>
          <a:endParaRPr lang="en-IN" sz="2000" b="1">
            <a:solidFill>
              <a:schemeClr val="tx1"/>
            </a:solidFill>
          </a:endParaRPr>
        </a:p>
      </xdr:txBody>
    </xdr:sp>
    <xdr:clientData/>
  </xdr:twoCellAnchor>
  <xdr:twoCellAnchor>
    <xdr:from>
      <xdr:col>0</xdr:col>
      <xdr:colOff>190500</xdr:colOff>
      <xdr:row>11</xdr:row>
      <xdr:rowOff>15240</xdr:rowOff>
    </xdr:from>
    <xdr:to>
      <xdr:col>2</xdr:col>
      <xdr:colOff>594360</xdr:colOff>
      <xdr:row>13</xdr:row>
      <xdr:rowOff>121920</xdr:rowOff>
    </xdr:to>
    <xdr:sp macro="" textlink="">
      <xdr:nvSpPr>
        <xdr:cNvPr id="26" name="Rectangle: Rounded Corners 25">
          <a:extLst>
            <a:ext uri="{FF2B5EF4-FFF2-40B4-BE49-F238E27FC236}">
              <a16:creationId xmlns:a16="http://schemas.microsoft.com/office/drawing/2014/main" id="{A19E9BAA-6F1E-41DD-BBB1-E5E7576C4A42}"/>
            </a:ext>
          </a:extLst>
        </xdr:cNvPr>
        <xdr:cNvSpPr/>
      </xdr:nvSpPr>
      <xdr:spPr>
        <a:xfrm>
          <a:off x="190500" y="1943100"/>
          <a:ext cx="1744980" cy="457200"/>
        </a:xfrm>
        <a:prstGeom prst="roundRect">
          <a:avLst/>
        </a:prstGeom>
        <a:noFill/>
        <a:ln w="38100">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1"/>
              </a:solidFill>
            </a:rPr>
            <a:t>PRODUCTS</a:t>
          </a:r>
        </a:p>
      </xdr:txBody>
    </xdr:sp>
    <xdr:clientData/>
  </xdr:twoCellAnchor>
  <xdr:twoCellAnchor>
    <xdr:from>
      <xdr:col>0</xdr:col>
      <xdr:colOff>198120</xdr:colOff>
      <xdr:row>14</xdr:row>
      <xdr:rowOff>76200</xdr:rowOff>
    </xdr:from>
    <xdr:to>
      <xdr:col>2</xdr:col>
      <xdr:colOff>601980</xdr:colOff>
      <xdr:row>17</xdr:row>
      <xdr:rowOff>15240</xdr:rowOff>
    </xdr:to>
    <xdr:sp macro="" textlink="">
      <xdr:nvSpPr>
        <xdr:cNvPr id="27" name="Rectangle: Rounded Corners 26">
          <a:extLst>
            <a:ext uri="{FF2B5EF4-FFF2-40B4-BE49-F238E27FC236}">
              <a16:creationId xmlns:a16="http://schemas.microsoft.com/office/drawing/2014/main" id="{063B1CEC-645E-43C0-AC1A-99182781A8A6}"/>
            </a:ext>
          </a:extLst>
        </xdr:cNvPr>
        <xdr:cNvSpPr/>
      </xdr:nvSpPr>
      <xdr:spPr>
        <a:xfrm>
          <a:off x="198120" y="2529840"/>
          <a:ext cx="1744980" cy="464820"/>
        </a:xfrm>
        <a:prstGeom prst="roundRect">
          <a:avLst/>
        </a:prstGeom>
        <a:noFill/>
        <a:ln w="381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baseline="0">
              <a:solidFill>
                <a:schemeClr val="bg1"/>
              </a:solidFill>
            </a:rPr>
            <a:t>SALES MAN</a:t>
          </a:r>
          <a:endParaRPr lang="en-IN" sz="2000" b="1">
            <a:solidFill>
              <a:schemeClr val="bg1"/>
            </a:solidFill>
          </a:endParaRPr>
        </a:p>
      </xdr:txBody>
    </xdr:sp>
    <xdr:clientData/>
  </xdr:twoCellAnchor>
  <xdr:twoCellAnchor>
    <xdr:from>
      <xdr:col>0</xdr:col>
      <xdr:colOff>213360</xdr:colOff>
      <xdr:row>17</xdr:row>
      <xdr:rowOff>129540</xdr:rowOff>
    </xdr:from>
    <xdr:to>
      <xdr:col>2</xdr:col>
      <xdr:colOff>617220</xdr:colOff>
      <xdr:row>20</xdr:row>
      <xdr:rowOff>60960</xdr:rowOff>
    </xdr:to>
    <xdr:sp macro="" textlink="">
      <xdr:nvSpPr>
        <xdr:cNvPr id="30" name="Rectangle: Rounded Corners 29">
          <a:extLst>
            <a:ext uri="{FF2B5EF4-FFF2-40B4-BE49-F238E27FC236}">
              <a16:creationId xmlns:a16="http://schemas.microsoft.com/office/drawing/2014/main" id="{A66A52D6-724C-4EEB-9EFC-A9DD9FA3C094}"/>
            </a:ext>
          </a:extLst>
        </xdr:cNvPr>
        <xdr:cNvSpPr/>
      </xdr:nvSpPr>
      <xdr:spPr>
        <a:xfrm>
          <a:off x="213360" y="3108960"/>
          <a:ext cx="1744980" cy="457200"/>
        </a:xfrm>
        <a:prstGeom prst="roundRect">
          <a:avLst/>
        </a:prstGeom>
        <a:noFill/>
        <a:ln w="381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1"/>
              </a:solidFill>
            </a:rPr>
            <a:t>ABOUT</a:t>
          </a:r>
        </a:p>
      </xdr:txBody>
    </xdr:sp>
    <xdr:clientData/>
  </xdr:twoCellAnchor>
  <xdr:twoCellAnchor>
    <xdr:from>
      <xdr:col>4</xdr:col>
      <xdr:colOff>426720</xdr:colOff>
      <xdr:row>16</xdr:row>
      <xdr:rowOff>30480</xdr:rowOff>
    </xdr:from>
    <xdr:to>
      <xdr:col>6</xdr:col>
      <xdr:colOff>632460</xdr:colOff>
      <xdr:row>19</xdr:row>
      <xdr:rowOff>60960</xdr:rowOff>
    </xdr:to>
    <xdr:sp macro="" textlink="">
      <xdr:nvSpPr>
        <xdr:cNvPr id="35" name="Rectangle: Rounded Corners 34">
          <a:extLst>
            <a:ext uri="{FF2B5EF4-FFF2-40B4-BE49-F238E27FC236}">
              <a16:creationId xmlns:a16="http://schemas.microsoft.com/office/drawing/2014/main" id="{7B430C7B-0B5B-40CA-B749-FDD0B23541B0}"/>
            </a:ext>
          </a:extLst>
        </xdr:cNvPr>
        <xdr:cNvSpPr/>
      </xdr:nvSpPr>
      <xdr:spPr>
        <a:xfrm>
          <a:off x="3078480" y="2834640"/>
          <a:ext cx="1546860" cy="556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5">
                  <a:lumMod val="60000"/>
                  <a:lumOff val="40000"/>
                </a:schemeClr>
              </a:solidFill>
            </a:rPr>
            <a:t>Total</a:t>
          </a:r>
          <a:r>
            <a:rPr lang="en-IN" sz="1600" b="1" baseline="0">
              <a:solidFill>
                <a:schemeClr val="accent5">
                  <a:lumMod val="60000"/>
                  <a:lumOff val="40000"/>
                </a:schemeClr>
              </a:solidFill>
            </a:rPr>
            <a:t> Amount</a:t>
          </a:r>
          <a:endParaRPr lang="en-IN" sz="1600" b="1">
            <a:solidFill>
              <a:schemeClr val="accent5">
                <a:lumMod val="60000"/>
                <a:lumOff val="40000"/>
              </a:schemeClr>
            </a:solidFill>
          </a:endParaRPr>
        </a:p>
      </xdr:txBody>
    </xdr:sp>
    <xdr:clientData/>
  </xdr:twoCellAnchor>
  <xdr:twoCellAnchor>
    <xdr:from>
      <xdr:col>8</xdr:col>
      <xdr:colOff>548640</xdr:colOff>
      <xdr:row>16</xdr:row>
      <xdr:rowOff>60960</xdr:rowOff>
    </xdr:from>
    <xdr:to>
      <xdr:col>11</xdr:col>
      <xdr:colOff>83820</xdr:colOff>
      <xdr:row>18</xdr:row>
      <xdr:rowOff>60960</xdr:rowOff>
    </xdr:to>
    <xdr:sp macro="" textlink="">
      <xdr:nvSpPr>
        <xdr:cNvPr id="36" name="Rectangle: Rounded Corners 35">
          <a:extLst>
            <a:ext uri="{FF2B5EF4-FFF2-40B4-BE49-F238E27FC236}">
              <a16:creationId xmlns:a16="http://schemas.microsoft.com/office/drawing/2014/main" id="{45CEB685-9280-464A-AC4B-9316A54764BF}"/>
            </a:ext>
          </a:extLst>
        </xdr:cNvPr>
        <xdr:cNvSpPr/>
      </xdr:nvSpPr>
      <xdr:spPr>
        <a:xfrm>
          <a:off x="5882640" y="2865120"/>
          <a:ext cx="1546860" cy="3505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rgbClr val="FFC000"/>
              </a:solidFill>
            </a:rPr>
            <a:t>Total</a:t>
          </a:r>
          <a:r>
            <a:rPr lang="en-IN" sz="1600" b="1" baseline="0">
              <a:solidFill>
                <a:srgbClr val="FFC000"/>
              </a:solidFill>
            </a:rPr>
            <a:t> Sales</a:t>
          </a:r>
          <a:endParaRPr lang="en-IN" sz="1600" b="1">
            <a:solidFill>
              <a:srgbClr val="FFC000"/>
            </a:solidFill>
          </a:endParaRPr>
        </a:p>
      </xdr:txBody>
    </xdr:sp>
    <xdr:clientData/>
  </xdr:twoCellAnchor>
  <xdr:twoCellAnchor editAs="oneCell">
    <xdr:from>
      <xdr:col>7</xdr:col>
      <xdr:colOff>533400</xdr:colOff>
      <xdr:row>16</xdr:row>
      <xdr:rowOff>121920</xdr:rowOff>
    </xdr:from>
    <xdr:to>
      <xdr:col>8</xdr:col>
      <xdr:colOff>601980</xdr:colOff>
      <xdr:row>19</xdr:row>
      <xdr:rowOff>137160</xdr:rowOff>
    </xdr:to>
    <xdr:pic>
      <xdr:nvPicPr>
        <xdr:cNvPr id="38" name="Graphic 37" descr="Business Growth">
          <a:extLst>
            <a:ext uri="{FF2B5EF4-FFF2-40B4-BE49-F238E27FC236}">
              <a16:creationId xmlns:a16="http://schemas.microsoft.com/office/drawing/2014/main" id="{7ABA4F7A-EB89-9789-6F01-ED20B6B605F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196840" y="2926080"/>
          <a:ext cx="739140" cy="541020"/>
        </a:xfrm>
        <a:prstGeom prst="rect">
          <a:avLst/>
        </a:prstGeom>
      </xdr:spPr>
    </xdr:pic>
    <xdr:clientData/>
  </xdr:twoCellAnchor>
  <xdr:twoCellAnchor editAs="oneCell">
    <xdr:from>
      <xdr:col>3</xdr:col>
      <xdr:colOff>579120</xdr:colOff>
      <xdr:row>16</xdr:row>
      <xdr:rowOff>129540</xdr:rowOff>
    </xdr:from>
    <xdr:to>
      <xdr:col>4</xdr:col>
      <xdr:colOff>548640</xdr:colOff>
      <xdr:row>19</xdr:row>
      <xdr:rowOff>152400</xdr:rowOff>
    </xdr:to>
    <xdr:pic>
      <xdr:nvPicPr>
        <xdr:cNvPr id="40" name="Graphic 39" descr="Rupee">
          <a:extLst>
            <a:ext uri="{FF2B5EF4-FFF2-40B4-BE49-F238E27FC236}">
              <a16:creationId xmlns:a16="http://schemas.microsoft.com/office/drawing/2014/main" id="{7C303F68-40D4-B865-18E4-A1B80A2C347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560320" y="2933700"/>
          <a:ext cx="640080" cy="548640"/>
        </a:xfrm>
        <a:prstGeom prst="rect">
          <a:avLst/>
        </a:prstGeom>
      </xdr:spPr>
    </xdr:pic>
    <xdr:clientData/>
  </xdr:twoCellAnchor>
  <xdr:twoCellAnchor>
    <xdr:from>
      <xdr:col>12</xdr:col>
      <xdr:colOff>137160</xdr:colOff>
      <xdr:row>13</xdr:row>
      <xdr:rowOff>15240</xdr:rowOff>
    </xdr:from>
    <xdr:to>
      <xdr:col>20</xdr:col>
      <xdr:colOff>533400</xdr:colOff>
      <xdr:row>22</xdr:row>
      <xdr:rowOff>114300</xdr:rowOff>
    </xdr:to>
    <xdr:graphicFrame macro="">
      <xdr:nvGraphicFramePr>
        <xdr:cNvPr id="48" name="Chart 47">
          <a:extLst>
            <a:ext uri="{FF2B5EF4-FFF2-40B4-BE49-F238E27FC236}">
              <a16:creationId xmlns:a16="http://schemas.microsoft.com/office/drawing/2014/main" id="{22D36CC2-652B-4567-9748-4A9B7455E4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121920</xdr:colOff>
      <xdr:row>13</xdr:row>
      <xdr:rowOff>15240</xdr:rowOff>
    </xdr:from>
    <xdr:to>
      <xdr:col>14</xdr:col>
      <xdr:colOff>541020</xdr:colOff>
      <xdr:row>16</xdr:row>
      <xdr:rowOff>45720</xdr:rowOff>
    </xdr:to>
    <xdr:sp macro="" textlink="">
      <xdr:nvSpPr>
        <xdr:cNvPr id="45" name="Rectangle: Rounded Corners 44">
          <a:extLst>
            <a:ext uri="{FF2B5EF4-FFF2-40B4-BE49-F238E27FC236}">
              <a16:creationId xmlns:a16="http://schemas.microsoft.com/office/drawing/2014/main" id="{82B612B1-F3CA-4741-89B5-C3F522BD7ECC}"/>
            </a:ext>
          </a:extLst>
        </xdr:cNvPr>
        <xdr:cNvSpPr/>
      </xdr:nvSpPr>
      <xdr:spPr>
        <a:xfrm>
          <a:off x="8138160" y="2293620"/>
          <a:ext cx="1760220" cy="556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Sales</a:t>
          </a:r>
          <a:r>
            <a:rPr lang="en-IN" sz="1400" b="1" baseline="0">
              <a:solidFill>
                <a:schemeClr val="tx1"/>
              </a:solidFill>
            </a:rPr>
            <a:t> by Months</a:t>
          </a:r>
          <a:endParaRPr lang="en-IN" sz="1400" b="1">
            <a:solidFill>
              <a:schemeClr val="tx1"/>
            </a:solidFill>
          </a:endParaRPr>
        </a:p>
      </xdr:txBody>
    </xdr:sp>
    <xdr:clientData/>
  </xdr:twoCellAnchor>
  <xdr:twoCellAnchor>
    <xdr:from>
      <xdr:col>12</xdr:col>
      <xdr:colOff>160020</xdr:colOff>
      <xdr:row>23</xdr:row>
      <xdr:rowOff>83820</xdr:rowOff>
    </xdr:from>
    <xdr:to>
      <xdr:col>20</xdr:col>
      <xdr:colOff>533400</xdr:colOff>
      <xdr:row>33</xdr:row>
      <xdr:rowOff>144780</xdr:rowOff>
    </xdr:to>
    <xdr:graphicFrame macro="">
      <xdr:nvGraphicFramePr>
        <xdr:cNvPr id="49" name="Chart 48">
          <a:extLst>
            <a:ext uri="{FF2B5EF4-FFF2-40B4-BE49-F238E27FC236}">
              <a16:creationId xmlns:a16="http://schemas.microsoft.com/office/drawing/2014/main" id="{896A99D6-FAE5-4E4F-874A-BD26BF50EE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167640</xdr:colOff>
      <xdr:row>23</xdr:row>
      <xdr:rowOff>60960</xdr:rowOff>
    </xdr:from>
    <xdr:to>
      <xdr:col>14</xdr:col>
      <xdr:colOff>373380</xdr:colOff>
      <xdr:row>26</xdr:row>
      <xdr:rowOff>91440</xdr:rowOff>
    </xdr:to>
    <xdr:sp macro="" textlink="">
      <xdr:nvSpPr>
        <xdr:cNvPr id="46" name="Rectangle: Rounded Corners 45">
          <a:extLst>
            <a:ext uri="{FF2B5EF4-FFF2-40B4-BE49-F238E27FC236}">
              <a16:creationId xmlns:a16="http://schemas.microsoft.com/office/drawing/2014/main" id="{ED9898E0-C1C0-41C1-B498-FC1BA3EDB75D}"/>
            </a:ext>
          </a:extLst>
        </xdr:cNvPr>
        <xdr:cNvSpPr/>
      </xdr:nvSpPr>
      <xdr:spPr>
        <a:xfrm>
          <a:off x="8183880" y="4091940"/>
          <a:ext cx="1546860" cy="556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Sales</a:t>
          </a:r>
          <a:r>
            <a:rPr lang="en-IN" sz="1400" b="1" baseline="0">
              <a:solidFill>
                <a:schemeClr val="tx1"/>
              </a:solidFill>
            </a:rPr>
            <a:t> by Places</a:t>
          </a:r>
          <a:endParaRPr lang="en-IN" sz="1400" b="1">
            <a:solidFill>
              <a:schemeClr val="tx1"/>
            </a:solidFill>
          </a:endParaRPr>
        </a:p>
      </xdr:txBody>
    </xdr:sp>
    <xdr:clientData/>
  </xdr:twoCellAnchor>
  <xdr:twoCellAnchor>
    <xdr:from>
      <xdr:col>3</xdr:col>
      <xdr:colOff>320040</xdr:colOff>
      <xdr:row>21</xdr:row>
      <xdr:rowOff>30480</xdr:rowOff>
    </xdr:from>
    <xdr:to>
      <xdr:col>11</xdr:col>
      <xdr:colOff>487680</xdr:colOff>
      <xdr:row>33</xdr:row>
      <xdr:rowOff>156210</xdr:rowOff>
    </xdr:to>
    <xdr:graphicFrame macro="">
      <xdr:nvGraphicFramePr>
        <xdr:cNvPr id="50" name="Chart 49">
          <a:extLst>
            <a:ext uri="{FF2B5EF4-FFF2-40B4-BE49-F238E27FC236}">
              <a16:creationId xmlns:a16="http://schemas.microsoft.com/office/drawing/2014/main" id="{7AF4FEF9-2F1C-4AF5-9E49-B90302E9F2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228600</xdr:colOff>
      <xdr:row>21</xdr:row>
      <xdr:rowOff>45720</xdr:rowOff>
    </xdr:from>
    <xdr:to>
      <xdr:col>6</xdr:col>
      <xdr:colOff>640080</xdr:colOff>
      <xdr:row>24</xdr:row>
      <xdr:rowOff>76200</xdr:rowOff>
    </xdr:to>
    <xdr:sp macro="" textlink="">
      <xdr:nvSpPr>
        <xdr:cNvPr id="47" name="Rectangle: Rounded Corners 46">
          <a:extLst>
            <a:ext uri="{FF2B5EF4-FFF2-40B4-BE49-F238E27FC236}">
              <a16:creationId xmlns:a16="http://schemas.microsoft.com/office/drawing/2014/main" id="{27422C7B-F48C-47ED-8AFA-BE50029D0726}"/>
            </a:ext>
          </a:extLst>
        </xdr:cNvPr>
        <xdr:cNvSpPr/>
      </xdr:nvSpPr>
      <xdr:spPr>
        <a:xfrm>
          <a:off x="2880360" y="3726180"/>
          <a:ext cx="1752600" cy="556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Sales</a:t>
          </a:r>
          <a:r>
            <a:rPr lang="en-IN" sz="1400" b="1" baseline="0">
              <a:solidFill>
                <a:schemeClr val="tx1"/>
              </a:solidFill>
            </a:rPr>
            <a:t> of Products</a:t>
          </a:r>
          <a:endParaRPr lang="en-IN" sz="1400" b="1">
            <a:solidFill>
              <a:schemeClr val="tx1"/>
            </a:solidFill>
          </a:endParaRPr>
        </a:p>
      </xdr:txBody>
    </xdr:sp>
    <xdr:clientData/>
  </xdr:twoCellAnchor>
  <xdr:twoCellAnchor>
    <xdr:from>
      <xdr:col>9</xdr:col>
      <xdr:colOff>99060</xdr:colOff>
      <xdr:row>17</xdr:row>
      <xdr:rowOff>160020</xdr:rowOff>
    </xdr:from>
    <xdr:to>
      <xdr:col>10</xdr:col>
      <xdr:colOff>419100</xdr:colOff>
      <xdr:row>19</xdr:row>
      <xdr:rowOff>160020</xdr:rowOff>
    </xdr:to>
    <xdr:sp macro="" textlink="'pivot data'!C44">
      <xdr:nvSpPr>
        <xdr:cNvPr id="2" name="Rectangle: Rounded Corners 1">
          <a:extLst>
            <a:ext uri="{FF2B5EF4-FFF2-40B4-BE49-F238E27FC236}">
              <a16:creationId xmlns:a16="http://schemas.microsoft.com/office/drawing/2014/main" id="{6BBF662C-9ED2-41E5-AB71-9804AD88175A}"/>
            </a:ext>
          </a:extLst>
        </xdr:cNvPr>
        <xdr:cNvSpPr/>
      </xdr:nvSpPr>
      <xdr:spPr>
        <a:xfrm>
          <a:off x="6103620" y="3139440"/>
          <a:ext cx="990600" cy="3505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42A4A6D-2E00-45E2-A57A-2E937C0C43A7}" type="TxLink">
            <a:rPr lang="en-US" sz="1600" b="1" i="0" u="none" strike="noStrike">
              <a:solidFill>
                <a:srgbClr val="000000"/>
              </a:solidFill>
              <a:latin typeface="Aptos Narrow"/>
            </a:rPr>
            <a:pPr algn="l"/>
            <a:t>56</a:t>
          </a:fld>
          <a:endParaRPr lang="en-IN" sz="1600" b="1">
            <a:solidFill>
              <a:sysClr val="windowText" lastClr="000000"/>
            </a:solidFill>
          </a:endParaRPr>
        </a:p>
      </xdr:txBody>
    </xdr:sp>
    <xdr:clientData/>
  </xdr:twoCellAnchor>
  <xdr:twoCellAnchor>
    <xdr:from>
      <xdr:col>4</xdr:col>
      <xdr:colOff>411480</xdr:colOff>
      <xdr:row>17</xdr:row>
      <xdr:rowOff>152400</xdr:rowOff>
    </xdr:from>
    <xdr:to>
      <xdr:col>6</xdr:col>
      <xdr:colOff>617220</xdr:colOff>
      <xdr:row>19</xdr:row>
      <xdr:rowOff>152400</xdr:rowOff>
    </xdr:to>
    <xdr:sp macro="" textlink="'pivot data'!C40">
      <xdr:nvSpPr>
        <xdr:cNvPr id="4" name="Rectangle: Rounded Corners 3">
          <a:extLst>
            <a:ext uri="{FF2B5EF4-FFF2-40B4-BE49-F238E27FC236}">
              <a16:creationId xmlns:a16="http://schemas.microsoft.com/office/drawing/2014/main" id="{64860E44-9938-40F8-A243-677309774055}"/>
            </a:ext>
          </a:extLst>
        </xdr:cNvPr>
        <xdr:cNvSpPr/>
      </xdr:nvSpPr>
      <xdr:spPr>
        <a:xfrm>
          <a:off x="3063240" y="3131820"/>
          <a:ext cx="1546860" cy="3505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E59B692-F3DD-4100-9292-EC53CAB4B7BE}" type="TxLink">
            <a:rPr lang="en-US" sz="1600" b="1" i="0" u="none" strike="noStrike">
              <a:solidFill>
                <a:srgbClr val="000000"/>
              </a:solidFill>
              <a:latin typeface="Aptos Narrow"/>
            </a:rPr>
            <a:pPr algn="l"/>
            <a:t> 1,60,52,685 </a:t>
          </a:fld>
          <a:endParaRPr lang="en-IN" sz="1600" b="1">
            <a:solidFill>
              <a:sysClr val="windowText" lastClr="000000"/>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78.702167361109" backgroundQuery="1" createdVersion="8" refreshedVersion="8" minRefreshableVersion="3" recordCount="0" supportSubquery="1" supportAdvancedDrill="1" xr:uid="{5F6273EA-B129-4B6D-94A5-FF1C55A92AC2}">
  <cacheSource type="external" connectionId="1"/>
  <cacheFields count="3">
    <cacheField name="[Table1].[Date (Month)].[Date (Month)]" caption="Date (Month)" numFmtId="0" hierarchy="9" level="1">
      <sharedItems count="12">
        <s v="Jan"/>
        <s v="Feb"/>
        <s v="Mar"/>
        <s v="Apr"/>
        <s v="May"/>
        <s v="Jun"/>
        <s v="Jul"/>
        <s v="Aug"/>
        <s v="Sep"/>
        <s v="Oct"/>
        <s v="Nov"/>
        <s v="Dec"/>
      </sharedItems>
    </cacheField>
    <cacheField name="[Measures].[Sum of Amount]" caption="Sum of Amount" numFmtId="0" hierarchy="13" level="32767"/>
    <cacheField name="[Table1].[Place].[Place]" caption="Place" numFmtId="0" hierarchy="3" level="1">
      <sharedItems containsSemiMixedTypes="0" containsNonDate="0" containsString="0"/>
    </cacheField>
  </cacheFields>
  <cacheHierarchies count="15">
    <cacheHierarchy uniqueName="[Table1].[Date]" caption="Date" attribute="1" time="1" defaultMemberUniqueName="[Table1].[Date].[All]" allUniqueName="[Table1].[Date].[All]" dimensionUniqueName="[Table1]" displayFolder="" count="0" memberValueDatatype="7" unbalanced="0"/>
    <cacheHierarchy uniqueName="[Table1].[Sales Persons]" caption="Sales Persons" attribute="1" defaultMemberUniqueName="[Table1].[Sales Persons].[All]" allUniqueName="[Table1].[Sales Persons].[All]" dimensionUniqueName="[Table1]" displayFolder="" count="0" memberValueDatatype="130" unbalanced="0"/>
    <cacheHierarchy uniqueName="[Table1].[Products]" caption="Products" attribute="1" defaultMemberUniqueName="[Table1].[Products].[All]" allUniqueName="[Table1].[Products].[All]" dimensionUniqueName="[Table1]" displayFolder="" count="2" memberValueDatatype="130" unbalanced="0"/>
    <cacheHierarchy uniqueName="[Table1].[Place]" caption="Place" attribute="1" defaultMemberUniqueName="[Table1].[Place].[All]" allUniqueName="[Table1].[Place].[All]" dimensionUniqueName="[Table1]" displayFolder="" count="2" memberValueDatatype="130" unbalanced="0">
      <fieldsUsage count="2">
        <fieldUsage x="-1"/>
        <fieldUsage x="2"/>
      </fieldsUsage>
    </cacheHierarchy>
    <cacheHierarchy uniqueName="[Table1].[Price]" caption="Price" attribute="1" defaultMemberUniqueName="[Table1].[Price].[All]" allUniqueName="[Table1].[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Amount]" caption="Amount" attribute="1" defaultMemberUniqueName="[Table1].[Amount].[All]" allUniqueName="[Table1].[Amount].[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0"/>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mount]" caption="Sum of Amount"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Amount]" caption="Count of Amount"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78.702168055555" backgroundQuery="1" createdVersion="8" refreshedVersion="8" minRefreshableVersion="3" recordCount="0" supportSubquery="1" supportAdvancedDrill="1" xr:uid="{CAFC3FF2-4FCD-4DF3-A50F-55D424CE2606}">
  <cacheSource type="external" connectionId="1"/>
  <cacheFields count="2">
    <cacheField name="[Measures].[Sum of Amount]" caption="Sum of Amount" numFmtId="0" hierarchy="13" level="32767"/>
    <cacheField name="[Table1].[Place].[Place]" caption="Place" numFmtId="0" hierarchy="3" level="1">
      <sharedItems count="1">
        <s v="Bapatla"/>
      </sharedItems>
    </cacheField>
  </cacheFields>
  <cacheHierarchies count="15">
    <cacheHierarchy uniqueName="[Table1].[Date]" caption="Date" attribute="1" time="1" defaultMemberUniqueName="[Table1].[Date].[All]" allUniqueName="[Table1].[Date].[All]" dimensionUniqueName="[Table1]" displayFolder="" count="0" memberValueDatatype="7" unbalanced="0"/>
    <cacheHierarchy uniqueName="[Table1].[Sales Persons]" caption="Sales Persons" attribute="1" defaultMemberUniqueName="[Table1].[Sales Persons].[All]" allUniqueName="[Table1].[Sales Persons].[All]" dimensionUniqueName="[Table1]" displayFolder="" count="0" memberValueDatatype="130" unbalanced="0"/>
    <cacheHierarchy uniqueName="[Table1].[Products]" caption="Products" attribute="1" defaultMemberUniqueName="[Table1].[Products].[All]" allUniqueName="[Table1].[Products].[All]" dimensionUniqueName="[Table1]" displayFolder="" count="2" memberValueDatatype="130" unbalanced="0"/>
    <cacheHierarchy uniqueName="[Table1].[Place]" caption="Place" attribute="1" defaultMemberUniqueName="[Table1].[Place].[All]" allUniqueName="[Table1].[Place].[All]" dimensionUniqueName="[Table1]" displayFolder="" count="2" memberValueDatatype="130" unbalanced="0">
      <fieldsUsage count="2">
        <fieldUsage x="-1"/>
        <fieldUsage x="1"/>
      </fieldsUsage>
    </cacheHierarchy>
    <cacheHierarchy uniqueName="[Table1].[Price]" caption="Price" attribute="1" defaultMemberUniqueName="[Table1].[Price].[All]" allUniqueName="[Table1].[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Amount]" caption="Amount" attribute="1" defaultMemberUniqueName="[Table1].[Amount].[All]" allUniqueName="[Table1].[Amount].[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mount]" caption="Sum of Amount"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Amount]" caption="Count of Amount"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78.702168981479" backgroundQuery="1" createdVersion="8" refreshedVersion="8" minRefreshableVersion="3" recordCount="0" supportSubquery="1" supportAdvancedDrill="1" xr:uid="{D4CB7B08-FDCB-4E63-93DA-7484AED49C46}">
  <cacheSource type="external" connectionId="1"/>
  <cacheFields count="3">
    <cacheField name="[Measures].[Sum of Amount]" caption="Sum of Amount" numFmtId="0" hierarchy="13" level="32767"/>
    <cacheField name="[Table1].[Products].[Products]" caption="Products" numFmtId="0" hierarchy="2" level="1">
      <sharedItems count="6">
        <s v="4K LED TV's"/>
        <s v="Furniture"/>
        <s v="Laptops"/>
        <s v="LED TV's"/>
        <s v="Mobiles"/>
        <s v="Speakers"/>
      </sharedItems>
    </cacheField>
    <cacheField name="[Table1].[Place].[Place]" caption="Place" numFmtId="0" hierarchy="3" level="1">
      <sharedItems containsSemiMixedTypes="0" containsNonDate="0" containsString="0"/>
    </cacheField>
  </cacheFields>
  <cacheHierarchies count="15">
    <cacheHierarchy uniqueName="[Table1].[Date]" caption="Date" attribute="1" time="1" defaultMemberUniqueName="[Table1].[Date].[All]" allUniqueName="[Table1].[Date].[All]" dimensionUniqueName="[Table1]" displayFolder="" count="0" memberValueDatatype="7" unbalanced="0"/>
    <cacheHierarchy uniqueName="[Table1].[Sales Persons]" caption="Sales Persons" attribute="1" defaultMemberUniqueName="[Table1].[Sales Persons].[All]" allUniqueName="[Table1].[Sales Persons].[All]" dimensionUniqueName="[Table1]" displayFolder="" count="0" memberValueDatatype="130" unbalanced="0"/>
    <cacheHierarchy uniqueName="[Table1].[Products]" caption="Products" attribute="1" defaultMemberUniqueName="[Table1].[Products].[All]" allUniqueName="[Table1].[Products].[All]" dimensionUniqueName="[Table1]" displayFolder="" count="2" memberValueDatatype="130" unbalanced="0">
      <fieldsUsage count="2">
        <fieldUsage x="-1"/>
        <fieldUsage x="1"/>
      </fieldsUsage>
    </cacheHierarchy>
    <cacheHierarchy uniqueName="[Table1].[Place]" caption="Place" attribute="1" defaultMemberUniqueName="[Table1].[Place].[All]" allUniqueName="[Table1].[Place].[All]" dimensionUniqueName="[Table1]" displayFolder="" count="2" memberValueDatatype="130" unbalanced="0">
      <fieldsUsage count="2">
        <fieldUsage x="-1"/>
        <fieldUsage x="2"/>
      </fieldsUsage>
    </cacheHierarchy>
    <cacheHierarchy uniqueName="[Table1].[Price]" caption="Price" attribute="1" defaultMemberUniqueName="[Table1].[Price].[All]" allUniqueName="[Table1].[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Amount]" caption="Amount" attribute="1" defaultMemberUniqueName="[Table1].[Amount].[All]" allUniqueName="[Table1].[Amount].[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mount]" caption="Sum of Amount"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Amount]" caption="Count of Amount"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78.702169212964" backgroundQuery="1" createdVersion="8" refreshedVersion="8" minRefreshableVersion="3" recordCount="0" supportSubquery="1" supportAdvancedDrill="1" xr:uid="{4EDE79F4-643B-4E10-AFD7-73BF0C793E75}">
  <cacheSource type="external" connectionId="1"/>
  <cacheFields count="2">
    <cacheField name="[Measures].[Sum of Amount]" caption="Sum of Amount" numFmtId="0" hierarchy="13" level="32767"/>
    <cacheField name="[Table1].[Place].[Place]" caption="Place" numFmtId="0" hierarchy="3" level="1">
      <sharedItems containsSemiMixedTypes="0" containsNonDate="0" containsString="0"/>
    </cacheField>
  </cacheFields>
  <cacheHierarchies count="15">
    <cacheHierarchy uniqueName="[Table1].[Date]" caption="Date" attribute="1" time="1" defaultMemberUniqueName="[Table1].[Date].[All]" allUniqueName="[Table1].[Date].[All]" dimensionUniqueName="[Table1]" displayFolder="" count="0" memberValueDatatype="7" unbalanced="0"/>
    <cacheHierarchy uniqueName="[Table1].[Sales Persons]" caption="Sales Persons" attribute="1" defaultMemberUniqueName="[Table1].[Sales Persons].[All]" allUniqueName="[Table1].[Sales Persons].[All]" dimensionUniqueName="[Table1]" displayFolder="" count="0" memberValueDatatype="130" unbalanced="0"/>
    <cacheHierarchy uniqueName="[Table1].[Products]" caption="Products" attribute="1" defaultMemberUniqueName="[Table1].[Products].[All]" allUniqueName="[Table1].[Products].[All]" dimensionUniqueName="[Table1]" displayFolder="" count="2" memberValueDatatype="130" unbalanced="0"/>
    <cacheHierarchy uniqueName="[Table1].[Place]" caption="Place" attribute="1" defaultMemberUniqueName="[Table1].[Place].[All]" allUniqueName="[Table1].[Place].[All]" dimensionUniqueName="[Table1]" displayFolder="" count="2" memberValueDatatype="130" unbalanced="0">
      <fieldsUsage count="2">
        <fieldUsage x="-1"/>
        <fieldUsage x="1"/>
      </fieldsUsage>
    </cacheHierarchy>
    <cacheHierarchy uniqueName="[Table1].[Price]" caption="Price" attribute="1" defaultMemberUniqueName="[Table1].[Price].[All]" allUniqueName="[Table1].[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Amount]" caption="Amount" attribute="1" defaultMemberUniqueName="[Table1].[Amount].[All]" allUniqueName="[Table1].[Amount].[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mount]" caption="Sum of Amount"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Amount]" caption="Count of Amount"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78.702169444441" backgroundQuery="1" createdVersion="8" refreshedVersion="8" minRefreshableVersion="3" recordCount="0" supportSubquery="1" supportAdvancedDrill="1" xr:uid="{B85AD12D-44CD-4BA7-913C-95B60FCF34EA}">
  <cacheSource type="external" connectionId="1"/>
  <cacheFields count="2">
    <cacheField name="[Measures].[Count of Amount]" caption="Count of Amount" numFmtId="0" hierarchy="14" level="32767"/>
    <cacheField name="[Table1].[Place].[Place]" caption="Place" numFmtId="0" hierarchy="3" level="1">
      <sharedItems containsSemiMixedTypes="0" containsNonDate="0" containsString="0"/>
    </cacheField>
  </cacheFields>
  <cacheHierarchies count="15">
    <cacheHierarchy uniqueName="[Table1].[Date]" caption="Date" attribute="1" time="1" defaultMemberUniqueName="[Table1].[Date].[All]" allUniqueName="[Table1].[Date].[All]" dimensionUniqueName="[Table1]" displayFolder="" count="0" memberValueDatatype="7" unbalanced="0"/>
    <cacheHierarchy uniqueName="[Table1].[Sales Persons]" caption="Sales Persons" attribute="1" defaultMemberUniqueName="[Table1].[Sales Persons].[All]" allUniqueName="[Table1].[Sales Persons].[All]" dimensionUniqueName="[Table1]" displayFolder="" count="0" memberValueDatatype="130" unbalanced="0"/>
    <cacheHierarchy uniqueName="[Table1].[Products]" caption="Products" attribute="1" defaultMemberUniqueName="[Table1].[Products].[All]" allUniqueName="[Table1].[Products].[All]" dimensionUniqueName="[Table1]" displayFolder="" count="2" memberValueDatatype="130" unbalanced="0"/>
    <cacheHierarchy uniqueName="[Table1].[Place]" caption="Place" attribute="1" defaultMemberUniqueName="[Table1].[Place].[All]" allUniqueName="[Table1].[Place].[All]" dimensionUniqueName="[Table1]" displayFolder="" count="2" memberValueDatatype="130" unbalanced="0">
      <fieldsUsage count="2">
        <fieldUsage x="-1"/>
        <fieldUsage x="1"/>
      </fieldsUsage>
    </cacheHierarchy>
    <cacheHierarchy uniqueName="[Table1].[Price]" caption="Price" attribute="1" defaultMemberUniqueName="[Table1].[Price].[All]" allUniqueName="[Table1].[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Amount]" caption="Amount" attribute="1" defaultMemberUniqueName="[Table1].[Amount].[All]" allUniqueName="[Table1].[Amount].[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mount]" caption="Sum of Amount" measure="1" displayFolder="" measureGroup="Table1" count="0" hidden="1">
      <extLst>
        <ext xmlns:x15="http://schemas.microsoft.com/office/spreadsheetml/2010/11/main" uri="{B97F6D7D-B522-45F9-BDA1-12C45D357490}">
          <x15:cacheHierarchy aggregatedColumn="6"/>
        </ext>
      </extLst>
    </cacheHierarchy>
    <cacheHierarchy uniqueName="[Measures].[Count of Amount]" caption="Count of Amount"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74.71306840278" backgroundQuery="1" createdVersion="3" refreshedVersion="8" minRefreshableVersion="3" recordCount="0" supportSubquery="1" supportAdvancedDrill="1" xr:uid="{239F613C-CB17-4EA6-A2C3-46F54C3AF46E}">
  <cacheSource type="external" connectionId="1">
    <extLst>
      <ext xmlns:x14="http://schemas.microsoft.com/office/spreadsheetml/2009/9/main" uri="{F057638F-6D5F-4e77-A914-E7F072B9BCA8}">
        <x14:sourceConnection name="ThisWorkbookDataModel"/>
      </ext>
    </extLst>
  </cacheSource>
  <cacheFields count="0"/>
  <cacheHierarchies count="13">
    <cacheHierarchy uniqueName="[Table1].[Date]" caption="Date" attribute="1" time="1" defaultMemberUniqueName="[Table1].[Date].[All]" allUniqueName="[Table1].[Date].[All]" dimensionUniqueName="[Table1]" displayFolder="" count="0" memberValueDatatype="7" unbalanced="0"/>
    <cacheHierarchy uniqueName="[Table1].[Sales Persons]" caption="Sales Persons" attribute="1" defaultMemberUniqueName="[Table1].[Sales Persons].[All]" allUniqueName="[Table1].[Sales Persons].[All]" dimensionUniqueName="[Table1]" displayFolder="" count="0" memberValueDatatype="130" unbalanced="0"/>
    <cacheHierarchy uniqueName="[Table1].[Products]" caption="Products" attribute="1" defaultMemberUniqueName="[Table1].[Products].[All]" allUniqueName="[Table1].[Products].[All]" dimensionUniqueName="[Table1]" displayFolder="" count="2" memberValueDatatype="130" unbalanced="0"/>
    <cacheHierarchy uniqueName="[Table1].[Place]" caption="Place" attribute="1" defaultMemberUniqueName="[Table1].[Place].[All]" allUniqueName="[Table1].[Place].[All]" dimensionUniqueName="[Table1]" displayFolder="" count="2" memberValueDatatype="130" unbalanced="0"/>
    <cacheHierarchy uniqueName="[Table1].[Price]" caption="Price" attribute="1" defaultMemberUniqueName="[Table1].[Price].[All]" allUniqueName="[Table1].[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Amount]" caption="Amount" attribute="1" defaultMemberUniqueName="[Table1].[Amount].[All]" allUniqueName="[Table1].[Amount].[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35575574"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74.71306898148" backgroundQuery="1" createdVersion="3" refreshedVersion="8" minRefreshableVersion="3" recordCount="0" supportSubquery="1" supportAdvancedDrill="1" xr:uid="{C15E8F62-7145-419E-A3C6-BF5C0E23125F}">
  <cacheSource type="external" connectionId="1">
    <extLst>
      <ext xmlns:x14="http://schemas.microsoft.com/office/spreadsheetml/2009/9/main" uri="{F057638F-6D5F-4e77-A914-E7F072B9BCA8}">
        <x14:sourceConnection name="ThisWorkbookDataModel"/>
      </ext>
    </extLst>
  </cacheSource>
  <cacheFields count="0"/>
  <cacheHierarchies count="13">
    <cacheHierarchy uniqueName="[Table1].[Date]" caption="Date" attribute="1" time="1" defaultMemberUniqueName="[Table1].[Date].[All]" allUniqueName="[Table1].[Date].[All]" dimensionUniqueName="[Table1]" displayFolder="" count="2" memberValueDatatype="7" unbalanced="0"/>
    <cacheHierarchy uniqueName="[Table1].[Sales Persons]" caption="Sales Persons" attribute="1" defaultMemberUniqueName="[Table1].[Sales Persons].[All]" allUniqueName="[Table1].[Sales Persons].[All]" dimensionUniqueName="[Table1]" displayFolder="" count="0" memberValueDatatype="130" unbalanced="0"/>
    <cacheHierarchy uniqueName="[Table1].[Products]" caption="Products" attribute="1" defaultMemberUniqueName="[Table1].[Products].[All]" allUniqueName="[Table1].[Products].[All]" dimensionUniqueName="[Table1]" displayFolder="" count="0" memberValueDatatype="130" unbalanced="0"/>
    <cacheHierarchy uniqueName="[Table1].[Place]" caption="Place" attribute="1" defaultMemberUniqueName="[Table1].[Place].[All]" allUniqueName="[Table1].[Place].[All]" dimensionUniqueName="[Table1]" displayFolder="" count="0" memberValueDatatype="130" unbalanced="0"/>
    <cacheHierarchy uniqueName="[Table1].[Price]" caption="Price" attribute="1" defaultMemberUniqueName="[Table1].[Price].[All]" allUniqueName="[Table1].[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Amount]" caption="Amount" attribute="1" defaultMemberUniqueName="[Table1].[Amount].[All]" allUniqueName="[Table1].[Amount].[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76082449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683412-C0DB-473F-AF78-B3B16F7C00B9}" name="PivotTable4" cacheId="3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4">
  <location ref="A39:A4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Amount" fld="0" baseField="0" baseItem="0"/>
  </dataFields>
  <chartFormats count="7">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15">
    <pivotHierarchy dragToData="1"/>
    <pivotHierarchy dragToData="1"/>
    <pivotHierarchy multipleItemSelectionAllowed="1" dragToData="1"/>
    <pivotHierarchy multipleItemSelectionAllowed="1" dragToData="1">
      <members count="1" level="1">
        <member name="[Table1].[Place].&amp;[Bapatla]"/>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Practice Fi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F2B7F4-B971-4B7F-A86D-96B06D5BF23F}" name="PivotTable2" cacheId="2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2">
  <location ref="A19:B21" firstHeaderRow="1" firstDataRow="1" firstDataCol="1"/>
  <pivotFields count="2">
    <pivotField dataField="1" subtotalTop="0" showAll="0" defaultSubtotal="0"/>
    <pivotField axis="axisRow" allDrilled="1" subtotalTop="0" showAll="0" dataSourceSort="1" defaultSubtotal="0" defaultAttributeDrillState="1">
      <items count="1">
        <item s="1" x="0"/>
      </items>
    </pivotField>
  </pivotFields>
  <rowFields count="1">
    <field x="1"/>
  </rowFields>
  <rowItems count="2">
    <i>
      <x/>
    </i>
    <i t="grand">
      <x/>
    </i>
  </rowItems>
  <colItems count="1">
    <i/>
  </colItems>
  <dataFields count="1">
    <dataField name="Sum of Amount" fld="0" baseField="0" baseItem="0"/>
  </dataFields>
  <formats count="1">
    <format dxfId="4">
      <pivotArea collapsedLevelsAreSubtotals="1" fieldPosition="0">
        <references count="1">
          <reference field="1" count="0"/>
        </references>
      </pivotArea>
    </format>
  </formats>
  <chartFormats count="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15">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Practice Fi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A897D9-29F1-44CF-83D6-98F7E32FCE4E}" name="PivotTable1" cacheId="2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7">
  <location ref="A1:B14"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Amount" fld="1" baseField="0" baseItem="0"/>
  </dataFields>
  <formats count="1">
    <format dxfId="5">
      <pivotArea collapsedLevelsAreSubtotals="1" fieldPosition="0">
        <references count="1">
          <reference field="0" count="0"/>
        </references>
      </pivotArea>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9"/>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9"/>
          </reference>
        </references>
      </pivotArea>
    </chartFormat>
  </chartFormats>
  <pivotHierarchies count="15">
    <pivotHierarchy dragToData="1"/>
    <pivotHierarchy dragToData="1"/>
    <pivotHierarchy multipleItemSelectionAllowed="1" dragToData="1"/>
    <pivotHierarchy multipleItemSelectionAllowed="1" dragToData="1">
      <members count="1" level="1">
        <member name="[Table1].[Place].&amp;[Bapatla]"/>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Practice Fi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30092C-0D3C-4420-A408-16674C921090}" name="PivotTable3" cacheId="3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4">
  <location ref="A29:B36"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Amount" fld="0" baseField="0" baseItem="0"/>
  </dataFields>
  <chartFormats count="8">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1" count="1" selected="0">
            <x v="2"/>
          </reference>
        </references>
      </pivotArea>
    </chartFormat>
  </chartFormats>
  <pivotHierarchies count="15">
    <pivotHierarchy dragToData="1"/>
    <pivotHierarchy dragToData="1"/>
    <pivotHierarchy multipleItemSelectionAllowed="1" dragToData="1"/>
    <pivotHierarchy multipleItemSelectionAllowed="1" dragToData="1">
      <members count="1" level="1">
        <member name="[Table1].[Place].&amp;[Bapatla]"/>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Practice Fi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A02E5E-120F-42A8-8041-393B7A78E053}" name="PivotTable5" cacheId="3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4">
  <location ref="A43:A4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Amount" fld="0" subtotal="count" baseField="0" baseItem="0"/>
  </dataFields>
  <chartFormats count="7">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15">
    <pivotHierarchy dragToData="1"/>
    <pivotHierarchy dragToData="1"/>
    <pivotHierarchy multipleItemSelectionAllowed="1" dragToData="1"/>
    <pivotHierarchy multipleItemSelectionAllowed="1" dragToData="1">
      <members count="1" level="1">
        <member name="[Table1].[Place].&amp;[Bapatla]"/>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Amount"/>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Practice Fi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 xr10:uid="{04229E65-BC74-457B-AAC6-64926746E28B}" sourceName="[Table1].[Place]">
  <pivotTables>
    <pivotTable tabId="2" name="PivotTable1"/>
    <pivotTable tabId="2" name="PivotTable2"/>
    <pivotTable tabId="2" name="PivotTable3"/>
    <pivotTable tabId="2" name="PivotTable4"/>
    <pivotTable tabId="2" name="PivotTable5"/>
  </pivotTables>
  <data>
    <olap pivotCacheId="535575574">
      <levels count="2">
        <level uniqueName="[Table1].[Place].[(All)]" sourceCaption="(All)" count="0"/>
        <level uniqueName="[Table1].[Place].[Place]" sourceCaption="Place" count="6">
          <ranges>
            <range startItem="0">
              <i n="[Table1].[Place].&amp;[Bapatla]" c="Bapatla"/>
              <i n="[Table1].[Place].&amp;[Chirala]" c="Chirala"/>
              <i n="[Table1].[Place].&amp;[Guntur]" c="Guntur"/>
              <i n="[Table1].[Place].&amp;[Ongole]" c="Ongole"/>
              <i n="[Table1].[Place].&amp;[Tenali]" c="Tenali"/>
              <i n="[Table1].[Place].&amp;[Vijayawada]" c="Vijayawada"/>
            </range>
          </ranges>
        </level>
      </levels>
      <selections count="1">
        <selection n="[Table1].[Place].&amp;[Bapatla]"/>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FFC21401-6EB2-4A1B-961A-B74470DA595A}" sourceName="[Table1].[Products]">
  <pivotTables>
    <pivotTable tabId="2" name="PivotTable1"/>
    <pivotTable tabId="2" name="PivotTable2"/>
    <pivotTable tabId="2" name="PivotTable3"/>
    <pivotTable tabId="2" name="PivotTable4"/>
    <pivotTable tabId="2" name="PivotTable5"/>
  </pivotTables>
  <data>
    <olap pivotCacheId="535575574">
      <levels count="2">
        <level uniqueName="[Table1].[Products].[(All)]" sourceCaption="(All)" count="0"/>
        <level uniqueName="[Table1].[Products].[Products]" sourceCaption="Products" count="6">
          <ranges>
            <range startItem="0">
              <i n="[Table1].[Products].&amp;[4K LED TV's]" c="4K LED TV's"/>
              <i n="[Table1].[Products].&amp;[Furniture]" c="Furniture"/>
              <i n="[Table1].[Products].&amp;[Laptops]" c="Laptops"/>
              <i n="[Table1].[Products].&amp;[LED TV's]" c="LED TV's"/>
              <i n="[Table1].[Products].&amp;[Mobiles]" c="Mobiles"/>
              <i n="[Table1].[Products].&amp;[Speakers]" c="Speakers"/>
            </range>
          </ranges>
        </level>
      </levels>
      <selections count="1">
        <selection n="[Table1].[Product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1" xr10:uid="{AE423DAE-F758-4EAD-B685-8C968C8CAEFC}" cache="Slicer_Place" caption="Place" columnCount="2" level="1" style="SlicerStyleLight4" rowHeight="234950"/>
  <slicer name="Products 1" xr10:uid="{9E1DDCC9-D272-4521-9AB5-8FB5A22BF67C}" cache="Slicer_Products" caption="Products" columnCount="6" level="1"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F733F1-701C-4674-9900-55CFF90D2893}" name="Table1" displayName="Table1" ref="A1:G279" totalsRowShown="0" headerRowDxfId="17" dataDxfId="15" headerRowBorderDxfId="16" tableBorderDxfId="14" totalsRowBorderDxfId="13">
  <autoFilter ref="A1:G279" xr:uid="{67F733F1-701C-4674-9900-55CFF90D2893}"/>
  <tableColumns count="7">
    <tableColumn id="1" xr3:uid="{E0A97999-7AF8-489B-8679-BA096B808E0E}" name="Date" dataDxfId="12"/>
    <tableColumn id="2" xr3:uid="{5DF5B3E1-255E-415B-9B41-B1CE4B44E69B}" name="Sales Persons" dataDxfId="11"/>
    <tableColumn id="3" xr3:uid="{E4FCA2DF-BB6E-4F0F-BE7F-407230BA1B95}" name="Products" dataDxfId="10"/>
    <tableColumn id="4" xr3:uid="{DEA61545-9057-4E18-B664-D3B17762A81C}" name="Place" dataDxfId="9"/>
    <tableColumn id="5" xr3:uid="{4F36C8C1-8FF7-434B-A295-5F0CDD291C25}" name="Price" dataDxfId="8"/>
    <tableColumn id="6" xr3:uid="{1E38A4B9-7721-49D8-91A4-198B731167E4}" name="Units" dataDxfId="7"/>
    <tableColumn id="7" xr3:uid="{93E4A01B-0671-4268-8DB7-9155EAE8387A}" name="Amount" dataDxfId="6">
      <calculatedColumnFormula>E2*F2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2DBB9EF8-EE29-4CFF-BFA1-D77114CDD8A7}" sourceName="[Table1].[Date]">
  <pivotTables>
    <pivotTable tabId="2" name="PivotTable1"/>
    <pivotTable tabId="2" name="PivotTable2"/>
    <pivotTable tabId="2" name="PivotTable3"/>
    <pivotTable tabId="2" name="PivotTable4"/>
    <pivotTable tabId="2" name="PivotTable5"/>
  </pivotTables>
  <state minimalRefreshVersion="6" lastRefreshVersion="6" pivotCacheId="1760824493" filterType="unknown">
    <bounds startDate="202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21C2327C-8C62-4D74-9E1E-1E4899DBE26A}" cache="Timeline_Date" caption="Date" level="2" selectionLevel="2" scrollPosition="2020-01-01T00:00:00" style="TimeSlicerStyleLight4"/>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C96DE-F2D6-4CBF-B116-C7C28F974CFD}">
  <dimension ref="A1:G279"/>
  <sheetViews>
    <sheetView topLeftCell="A2" workbookViewId="0">
      <selection activeCell="B13" sqref="A2:G279"/>
    </sheetView>
  </sheetViews>
  <sheetFormatPr defaultRowHeight="14.4" x14ac:dyDescent="0.3"/>
  <cols>
    <col min="1" max="1" width="11.21875" bestFit="1" customWidth="1"/>
    <col min="2" max="2" width="18.44140625" customWidth="1"/>
    <col min="3" max="3" width="12.6640625" customWidth="1"/>
    <col min="4" max="4" width="11.5546875" bestFit="1" customWidth="1"/>
    <col min="5" max="5" width="8.33203125" customWidth="1"/>
    <col min="6" max="6" width="8.5546875" customWidth="1"/>
    <col min="7" max="7" width="11.44140625" customWidth="1"/>
  </cols>
  <sheetData>
    <row r="1" spans="1:7" ht="18" x14ac:dyDescent="0.35">
      <c r="A1" s="10" t="s">
        <v>0</v>
      </c>
      <c r="B1" s="11" t="s">
        <v>1</v>
      </c>
      <c r="C1" s="11" t="s">
        <v>2</v>
      </c>
      <c r="D1" s="11" t="s">
        <v>3</v>
      </c>
      <c r="E1" s="11" t="s">
        <v>4</v>
      </c>
      <c r="F1" s="11" t="s">
        <v>5</v>
      </c>
      <c r="G1" s="12" t="s">
        <v>6</v>
      </c>
    </row>
    <row r="2" spans="1:7" ht="15.6" x14ac:dyDescent="0.3">
      <c r="A2" s="4">
        <v>43831</v>
      </c>
      <c r="B2" s="1" t="s">
        <v>7</v>
      </c>
      <c r="C2" s="1" t="s">
        <v>8</v>
      </c>
      <c r="D2" s="1" t="s">
        <v>9</v>
      </c>
      <c r="E2" s="1">
        <v>499</v>
      </c>
      <c r="F2" s="1">
        <v>50</v>
      </c>
      <c r="G2" s="7">
        <f>E2*F2</f>
        <v>24950</v>
      </c>
    </row>
    <row r="3" spans="1:7" ht="15.6" x14ac:dyDescent="0.3">
      <c r="A3" s="5">
        <v>43835</v>
      </c>
      <c r="B3" s="2" t="s">
        <v>10</v>
      </c>
      <c r="C3" s="2" t="s">
        <v>8</v>
      </c>
      <c r="D3" s="2" t="s">
        <v>11</v>
      </c>
      <c r="E3" s="2">
        <v>5599</v>
      </c>
      <c r="F3" s="2">
        <v>33</v>
      </c>
      <c r="G3" s="8">
        <f t="shared" ref="G3:G66" si="0">E3*F3</f>
        <v>184767</v>
      </c>
    </row>
    <row r="4" spans="1:7" ht="15.6" x14ac:dyDescent="0.3">
      <c r="A4" s="4">
        <v>43839</v>
      </c>
      <c r="B4" s="1" t="s">
        <v>12</v>
      </c>
      <c r="C4" s="1" t="s">
        <v>13</v>
      </c>
      <c r="D4" s="1" t="s">
        <v>14</v>
      </c>
      <c r="E4" s="1">
        <v>1450</v>
      </c>
      <c r="F4" s="1">
        <v>44</v>
      </c>
      <c r="G4" s="7">
        <f t="shared" si="0"/>
        <v>63800</v>
      </c>
    </row>
    <row r="5" spans="1:7" ht="15.6" x14ac:dyDescent="0.3">
      <c r="A5" s="5">
        <v>43843</v>
      </c>
      <c r="B5" s="2" t="s">
        <v>15</v>
      </c>
      <c r="C5" s="2" t="s">
        <v>16</v>
      </c>
      <c r="D5" s="2" t="s">
        <v>9</v>
      </c>
      <c r="E5" s="2">
        <v>85000</v>
      </c>
      <c r="F5" s="2">
        <v>50</v>
      </c>
      <c r="G5" s="8">
        <f t="shared" si="0"/>
        <v>4250000</v>
      </c>
    </row>
    <row r="6" spans="1:7" ht="15.6" x14ac:dyDescent="0.3">
      <c r="A6" s="4">
        <v>43847</v>
      </c>
      <c r="B6" s="1" t="s">
        <v>15</v>
      </c>
      <c r="C6" s="1" t="s">
        <v>17</v>
      </c>
      <c r="D6" s="1" t="s">
        <v>18</v>
      </c>
      <c r="E6" s="1">
        <v>15000</v>
      </c>
      <c r="F6" s="1">
        <v>11</v>
      </c>
      <c r="G6" s="7">
        <f t="shared" si="0"/>
        <v>165000</v>
      </c>
    </row>
    <row r="7" spans="1:7" ht="15.6" x14ac:dyDescent="0.3">
      <c r="A7" s="5">
        <v>43851</v>
      </c>
      <c r="B7" s="2" t="s">
        <v>10</v>
      </c>
      <c r="C7" s="2" t="s">
        <v>8</v>
      </c>
      <c r="D7" s="2" t="s">
        <v>18</v>
      </c>
      <c r="E7" s="2">
        <v>2550</v>
      </c>
      <c r="F7" s="2">
        <v>48</v>
      </c>
      <c r="G7" s="8">
        <f t="shared" si="0"/>
        <v>122400</v>
      </c>
    </row>
    <row r="8" spans="1:7" ht="15.6" x14ac:dyDescent="0.3">
      <c r="A8" s="4">
        <v>43855</v>
      </c>
      <c r="B8" s="1" t="s">
        <v>19</v>
      </c>
      <c r="C8" s="1" t="s">
        <v>20</v>
      </c>
      <c r="D8" s="1" t="s">
        <v>14</v>
      </c>
      <c r="E8" s="1">
        <v>33000</v>
      </c>
      <c r="F8" s="1">
        <v>26</v>
      </c>
      <c r="G8" s="7">
        <f t="shared" si="0"/>
        <v>858000</v>
      </c>
    </row>
    <row r="9" spans="1:7" ht="15.6" x14ac:dyDescent="0.3">
      <c r="A9" s="5">
        <v>43859</v>
      </c>
      <c r="B9" s="2" t="s">
        <v>7</v>
      </c>
      <c r="C9" s="2" t="s">
        <v>16</v>
      </c>
      <c r="D9" s="2" t="s">
        <v>21</v>
      </c>
      <c r="E9" s="2">
        <v>86000</v>
      </c>
      <c r="F9" s="2">
        <v>39</v>
      </c>
      <c r="G9" s="8">
        <f t="shared" si="0"/>
        <v>3354000</v>
      </c>
    </row>
    <row r="10" spans="1:7" ht="15.6" x14ac:dyDescent="0.3">
      <c r="A10" s="4">
        <v>43863</v>
      </c>
      <c r="B10" s="1" t="s">
        <v>12</v>
      </c>
      <c r="C10" s="1" t="s">
        <v>22</v>
      </c>
      <c r="D10" s="1" t="s">
        <v>18</v>
      </c>
      <c r="E10" s="1">
        <v>990</v>
      </c>
      <c r="F10" s="1">
        <v>9</v>
      </c>
      <c r="G10" s="7">
        <f t="shared" si="0"/>
        <v>8910</v>
      </c>
    </row>
    <row r="11" spans="1:7" ht="15.6" x14ac:dyDescent="0.3">
      <c r="A11" s="5">
        <v>43867</v>
      </c>
      <c r="B11" s="2" t="s">
        <v>7</v>
      </c>
      <c r="C11" s="2" t="s">
        <v>8</v>
      </c>
      <c r="D11" s="2" t="s">
        <v>9</v>
      </c>
      <c r="E11" s="2">
        <v>5599</v>
      </c>
      <c r="F11" s="2">
        <v>41</v>
      </c>
      <c r="G11" s="8">
        <f t="shared" si="0"/>
        <v>229559</v>
      </c>
    </row>
    <row r="12" spans="1:7" ht="15.6" x14ac:dyDescent="0.3">
      <c r="A12" s="4">
        <v>43871</v>
      </c>
      <c r="B12" s="1" t="s">
        <v>19</v>
      </c>
      <c r="C12" s="1" t="s">
        <v>20</v>
      </c>
      <c r="D12" s="1" t="s">
        <v>14</v>
      </c>
      <c r="E12" s="1">
        <v>499</v>
      </c>
      <c r="F12" s="1">
        <v>39</v>
      </c>
      <c r="G12" s="7">
        <f t="shared" si="0"/>
        <v>19461</v>
      </c>
    </row>
    <row r="13" spans="1:7" ht="15.6" x14ac:dyDescent="0.3">
      <c r="A13" s="5">
        <v>43875</v>
      </c>
      <c r="B13" s="2" t="s">
        <v>10</v>
      </c>
      <c r="C13" s="2" t="s">
        <v>22</v>
      </c>
      <c r="D13" s="2" t="s">
        <v>9</v>
      </c>
      <c r="E13" s="2">
        <v>1999</v>
      </c>
      <c r="F13" s="2">
        <v>4</v>
      </c>
      <c r="G13" s="8">
        <f t="shared" si="0"/>
        <v>7996</v>
      </c>
    </row>
    <row r="14" spans="1:7" ht="15.6" x14ac:dyDescent="0.3">
      <c r="A14" s="4">
        <v>43879</v>
      </c>
      <c r="B14" s="1" t="s">
        <v>15</v>
      </c>
      <c r="C14" s="1" t="s">
        <v>16</v>
      </c>
      <c r="D14" s="1" t="s">
        <v>9</v>
      </c>
      <c r="E14" s="1">
        <v>63400</v>
      </c>
      <c r="F14" s="1">
        <v>8</v>
      </c>
      <c r="G14" s="7">
        <f t="shared" si="0"/>
        <v>507200</v>
      </c>
    </row>
    <row r="15" spans="1:7" ht="15.6" x14ac:dyDescent="0.3">
      <c r="A15" s="5">
        <v>43883</v>
      </c>
      <c r="B15" s="2" t="s">
        <v>23</v>
      </c>
      <c r="C15" s="2" t="s">
        <v>22</v>
      </c>
      <c r="D15" s="2" t="s">
        <v>18</v>
      </c>
      <c r="E15" s="2">
        <v>1499</v>
      </c>
      <c r="F15" s="2">
        <v>27</v>
      </c>
      <c r="G15" s="8">
        <f t="shared" si="0"/>
        <v>40473</v>
      </c>
    </row>
    <row r="16" spans="1:7" ht="15.6" x14ac:dyDescent="0.3">
      <c r="A16" s="4">
        <v>43887</v>
      </c>
      <c r="B16" s="1" t="s">
        <v>15</v>
      </c>
      <c r="C16" s="1" t="s">
        <v>17</v>
      </c>
      <c r="D16" s="1" t="s">
        <v>14</v>
      </c>
      <c r="E16" s="1">
        <v>120</v>
      </c>
      <c r="F16" s="1">
        <v>10</v>
      </c>
      <c r="G16" s="7">
        <f t="shared" si="0"/>
        <v>1200</v>
      </c>
    </row>
    <row r="17" spans="1:7" ht="15.6" x14ac:dyDescent="0.3">
      <c r="A17" s="5">
        <v>43891</v>
      </c>
      <c r="B17" s="2" t="s">
        <v>10</v>
      </c>
      <c r="C17" s="2" t="s">
        <v>20</v>
      </c>
      <c r="D17" s="2" t="s">
        <v>21</v>
      </c>
      <c r="E17" s="2">
        <v>11999</v>
      </c>
      <c r="F17" s="2">
        <v>17</v>
      </c>
      <c r="G17" s="8">
        <f t="shared" si="0"/>
        <v>203983</v>
      </c>
    </row>
    <row r="18" spans="1:7" ht="15.6" x14ac:dyDescent="0.3">
      <c r="A18" s="4">
        <v>43895</v>
      </c>
      <c r="B18" s="1" t="s">
        <v>12</v>
      </c>
      <c r="C18" s="1" t="s">
        <v>16</v>
      </c>
      <c r="D18" s="1" t="s">
        <v>11</v>
      </c>
      <c r="E18" s="1">
        <v>47500</v>
      </c>
      <c r="F18" s="1">
        <v>27</v>
      </c>
      <c r="G18" s="7">
        <f t="shared" si="0"/>
        <v>1282500</v>
      </c>
    </row>
    <row r="19" spans="1:7" ht="15.6" x14ac:dyDescent="0.3">
      <c r="A19" s="5">
        <v>43899</v>
      </c>
      <c r="B19" s="2" t="s">
        <v>19</v>
      </c>
      <c r="C19" s="2" t="s">
        <v>20</v>
      </c>
      <c r="D19" s="2" t="s">
        <v>11</v>
      </c>
      <c r="E19" s="2">
        <v>2999</v>
      </c>
      <c r="F19" s="2">
        <v>43</v>
      </c>
      <c r="G19" s="8">
        <f t="shared" si="0"/>
        <v>128957</v>
      </c>
    </row>
    <row r="20" spans="1:7" ht="15.6" x14ac:dyDescent="0.3">
      <c r="A20" s="4">
        <v>43903</v>
      </c>
      <c r="B20" s="1" t="s">
        <v>15</v>
      </c>
      <c r="C20" s="1" t="s">
        <v>17</v>
      </c>
      <c r="D20" s="1" t="s">
        <v>11</v>
      </c>
      <c r="E20" s="1">
        <v>8900</v>
      </c>
      <c r="F20" s="1">
        <v>9</v>
      </c>
      <c r="G20" s="7">
        <f t="shared" si="0"/>
        <v>80100</v>
      </c>
    </row>
    <row r="21" spans="1:7" ht="15.6" x14ac:dyDescent="0.3">
      <c r="A21" s="5">
        <v>43907</v>
      </c>
      <c r="B21" s="2" t="s">
        <v>10</v>
      </c>
      <c r="C21" s="2" t="s">
        <v>20</v>
      </c>
      <c r="D21" s="2" t="s">
        <v>9</v>
      </c>
      <c r="E21" s="2">
        <v>22000</v>
      </c>
      <c r="F21" s="2">
        <v>42</v>
      </c>
      <c r="G21" s="8">
        <f t="shared" si="0"/>
        <v>924000</v>
      </c>
    </row>
    <row r="22" spans="1:7" ht="15.6" x14ac:dyDescent="0.3">
      <c r="A22" s="4">
        <v>43911</v>
      </c>
      <c r="B22" s="1" t="s">
        <v>12</v>
      </c>
      <c r="C22" s="1" t="s">
        <v>13</v>
      </c>
      <c r="D22" s="1" t="s">
        <v>11</v>
      </c>
      <c r="E22" s="1">
        <v>1250</v>
      </c>
      <c r="F22" s="1">
        <v>6</v>
      </c>
      <c r="G22" s="7">
        <f t="shared" si="0"/>
        <v>7500</v>
      </c>
    </row>
    <row r="23" spans="1:7" ht="15.6" x14ac:dyDescent="0.3">
      <c r="A23" s="5">
        <v>43915</v>
      </c>
      <c r="B23" s="2" t="s">
        <v>15</v>
      </c>
      <c r="C23" s="2" t="s">
        <v>17</v>
      </c>
      <c r="D23" s="2" t="s">
        <v>18</v>
      </c>
      <c r="E23" s="2">
        <v>999</v>
      </c>
      <c r="F23" s="2">
        <v>28</v>
      </c>
      <c r="G23" s="8">
        <f t="shared" si="0"/>
        <v>27972</v>
      </c>
    </row>
    <row r="24" spans="1:7" ht="15.6" x14ac:dyDescent="0.3">
      <c r="A24" s="4">
        <v>43919</v>
      </c>
      <c r="B24" s="1" t="s">
        <v>19</v>
      </c>
      <c r="C24" s="1" t="s">
        <v>13</v>
      </c>
      <c r="D24" s="1" t="s">
        <v>21</v>
      </c>
      <c r="E24" s="1">
        <v>1450</v>
      </c>
      <c r="F24" s="1">
        <v>13</v>
      </c>
      <c r="G24" s="7">
        <f t="shared" si="0"/>
        <v>18850</v>
      </c>
    </row>
    <row r="25" spans="1:7" ht="15.6" x14ac:dyDescent="0.3">
      <c r="A25" s="5">
        <v>43923</v>
      </c>
      <c r="B25" s="2" t="s">
        <v>19</v>
      </c>
      <c r="C25" s="2" t="s">
        <v>13</v>
      </c>
      <c r="D25" s="2" t="s">
        <v>14</v>
      </c>
      <c r="E25" s="2">
        <v>23999</v>
      </c>
      <c r="F25" s="2">
        <v>8</v>
      </c>
      <c r="G25" s="8">
        <f t="shared" si="0"/>
        <v>191992</v>
      </c>
    </row>
    <row r="26" spans="1:7" ht="15.6" x14ac:dyDescent="0.3">
      <c r="A26" s="4">
        <v>43927</v>
      </c>
      <c r="B26" s="1" t="s">
        <v>10</v>
      </c>
      <c r="C26" s="1" t="s">
        <v>16</v>
      </c>
      <c r="D26" s="1" t="s">
        <v>21</v>
      </c>
      <c r="E26" s="1">
        <v>65200</v>
      </c>
      <c r="F26" s="1">
        <v>7</v>
      </c>
      <c r="G26" s="7">
        <f t="shared" si="0"/>
        <v>456400</v>
      </c>
    </row>
    <row r="27" spans="1:7" ht="15.6" x14ac:dyDescent="0.3">
      <c r="A27" s="5">
        <v>43931</v>
      </c>
      <c r="B27" s="2" t="s">
        <v>10</v>
      </c>
      <c r="C27" s="2" t="s">
        <v>22</v>
      </c>
      <c r="D27" s="2" t="s">
        <v>11</v>
      </c>
      <c r="E27" s="2">
        <v>699</v>
      </c>
      <c r="F27" s="2">
        <v>45</v>
      </c>
      <c r="G27" s="8">
        <f t="shared" si="0"/>
        <v>31455</v>
      </c>
    </row>
    <row r="28" spans="1:7" ht="15.6" x14ac:dyDescent="0.3">
      <c r="A28" s="4">
        <v>43935</v>
      </c>
      <c r="B28" s="1" t="s">
        <v>7</v>
      </c>
      <c r="C28" s="1" t="s">
        <v>8</v>
      </c>
      <c r="D28" s="1" t="s">
        <v>9</v>
      </c>
      <c r="E28" s="1">
        <v>2550</v>
      </c>
      <c r="F28" s="1">
        <v>22</v>
      </c>
      <c r="G28" s="7">
        <f t="shared" si="0"/>
        <v>56100</v>
      </c>
    </row>
    <row r="29" spans="1:7" ht="15.6" x14ac:dyDescent="0.3">
      <c r="A29" s="5">
        <v>43939</v>
      </c>
      <c r="B29" s="2" t="s">
        <v>12</v>
      </c>
      <c r="C29" s="2" t="s">
        <v>20</v>
      </c>
      <c r="D29" s="2" t="s">
        <v>21</v>
      </c>
      <c r="E29" s="2">
        <v>22000</v>
      </c>
      <c r="F29" s="2">
        <v>4</v>
      </c>
      <c r="G29" s="8">
        <f t="shared" si="0"/>
        <v>88000</v>
      </c>
    </row>
    <row r="30" spans="1:7" ht="15.6" x14ac:dyDescent="0.3">
      <c r="A30" s="4">
        <v>43943</v>
      </c>
      <c r="B30" s="1" t="s">
        <v>19</v>
      </c>
      <c r="C30" s="1" t="s">
        <v>16</v>
      </c>
      <c r="D30" s="1" t="s">
        <v>9</v>
      </c>
      <c r="E30" s="1">
        <v>22000</v>
      </c>
      <c r="F30" s="1">
        <v>10</v>
      </c>
      <c r="G30" s="7">
        <f t="shared" si="0"/>
        <v>220000</v>
      </c>
    </row>
    <row r="31" spans="1:7" ht="15.6" x14ac:dyDescent="0.3">
      <c r="A31" s="5">
        <v>43947</v>
      </c>
      <c r="B31" s="2" t="s">
        <v>23</v>
      </c>
      <c r="C31" s="2" t="s">
        <v>22</v>
      </c>
      <c r="D31" s="2" t="s">
        <v>18</v>
      </c>
      <c r="E31" s="2">
        <v>1499</v>
      </c>
      <c r="F31" s="2">
        <v>16</v>
      </c>
      <c r="G31" s="8">
        <f t="shared" si="0"/>
        <v>23984</v>
      </c>
    </row>
    <row r="32" spans="1:7" ht="15.6" x14ac:dyDescent="0.3">
      <c r="A32" s="4">
        <v>43951</v>
      </c>
      <c r="B32" s="1" t="s">
        <v>10</v>
      </c>
      <c r="C32" s="1" t="s">
        <v>17</v>
      </c>
      <c r="D32" s="1" t="s">
        <v>21</v>
      </c>
      <c r="E32" s="1">
        <v>120</v>
      </c>
      <c r="F32" s="1">
        <v>22</v>
      </c>
      <c r="G32" s="7">
        <f t="shared" si="0"/>
        <v>2640</v>
      </c>
    </row>
    <row r="33" spans="1:7" ht="15.6" x14ac:dyDescent="0.3">
      <c r="A33" s="5">
        <v>43955</v>
      </c>
      <c r="B33" s="2" t="s">
        <v>7</v>
      </c>
      <c r="C33" s="2" t="s">
        <v>8</v>
      </c>
      <c r="D33" s="2" t="s">
        <v>14</v>
      </c>
      <c r="E33" s="2">
        <v>1450</v>
      </c>
      <c r="F33" s="2">
        <v>20</v>
      </c>
      <c r="G33" s="8">
        <f t="shared" si="0"/>
        <v>29000</v>
      </c>
    </row>
    <row r="34" spans="1:7" ht="15.6" x14ac:dyDescent="0.3">
      <c r="A34" s="4">
        <v>43959</v>
      </c>
      <c r="B34" s="1" t="s">
        <v>23</v>
      </c>
      <c r="C34" s="1" t="s">
        <v>22</v>
      </c>
      <c r="D34" s="1" t="s">
        <v>18</v>
      </c>
      <c r="E34" s="1">
        <v>1999</v>
      </c>
      <c r="F34" s="1">
        <v>23</v>
      </c>
      <c r="G34" s="7">
        <f t="shared" si="0"/>
        <v>45977</v>
      </c>
    </row>
    <row r="35" spans="1:7" ht="15.6" x14ac:dyDescent="0.3">
      <c r="A35" s="5">
        <v>43963</v>
      </c>
      <c r="B35" s="2" t="s">
        <v>10</v>
      </c>
      <c r="C35" s="2" t="s">
        <v>8</v>
      </c>
      <c r="D35" s="2" t="s">
        <v>9</v>
      </c>
      <c r="E35" s="2">
        <v>800</v>
      </c>
      <c r="F35" s="2">
        <v>43</v>
      </c>
      <c r="G35" s="8">
        <f t="shared" si="0"/>
        <v>34400</v>
      </c>
    </row>
    <row r="36" spans="1:7" ht="15.6" x14ac:dyDescent="0.3">
      <c r="A36" s="4">
        <v>43967</v>
      </c>
      <c r="B36" s="1" t="s">
        <v>12</v>
      </c>
      <c r="C36" s="1" t="s">
        <v>17</v>
      </c>
      <c r="D36" s="1" t="s">
        <v>18</v>
      </c>
      <c r="E36" s="1">
        <v>18000</v>
      </c>
      <c r="F36" s="1">
        <v>41</v>
      </c>
      <c r="G36" s="7">
        <f t="shared" si="0"/>
        <v>738000</v>
      </c>
    </row>
    <row r="37" spans="1:7" ht="15.6" x14ac:dyDescent="0.3">
      <c r="A37" s="5">
        <v>43971</v>
      </c>
      <c r="B37" s="2" t="s">
        <v>7</v>
      </c>
      <c r="C37" s="2" t="s">
        <v>8</v>
      </c>
      <c r="D37" s="2" t="s">
        <v>11</v>
      </c>
      <c r="E37" s="2">
        <v>13999</v>
      </c>
      <c r="F37" s="2">
        <v>37</v>
      </c>
      <c r="G37" s="8">
        <f t="shared" si="0"/>
        <v>517963</v>
      </c>
    </row>
    <row r="38" spans="1:7" ht="15.6" x14ac:dyDescent="0.3">
      <c r="A38" s="4">
        <v>43975</v>
      </c>
      <c r="B38" s="1" t="s">
        <v>10</v>
      </c>
      <c r="C38" s="1" t="s">
        <v>20</v>
      </c>
      <c r="D38" s="1" t="s">
        <v>18</v>
      </c>
      <c r="E38" s="1">
        <v>22000</v>
      </c>
      <c r="F38" s="1">
        <v>45</v>
      </c>
      <c r="G38" s="7">
        <f t="shared" si="0"/>
        <v>990000</v>
      </c>
    </row>
    <row r="39" spans="1:7" ht="15.6" x14ac:dyDescent="0.3">
      <c r="A39" s="5">
        <v>43979</v>
      </c>
      <c r="B39" s="2" t="s">
        <v>19</v>
      </c>
      <c r="C39" s="2" t="s">
        <v>16</v>
      </c>
      <c r="D39" s="2" t="s">
        <v>9</v>
      </c>
      <c r="E39" s="2">
        <v>89999</v>
      </c>
      <c r="F39" s="2">
        <v>15</v>
      </c>
      <c r="G39" s="8">
        <f t="shared" si="0"/>
        <v>1349985</v>
      </c>
    </row>
    <row r="40" spans="1:7" ht="15.6" x14ac:dyDescent="0.3">
      <c r="A40" s="4">
        <v>43983</v>
      </c>
      <c r="B40" s="1" t="s">
        <v>7</v>
      </c>
      <c r="C40" s="1" t="s">
        <v>8</v>
      </c>
      <c r="D40" s="1" t="s">
        <v>14</v>
      </c>
      <c r="E40" s="1">
        <v>13999</v>
      </c>
      <c r="F40" s="1">
        <v>22</v>
      </c>
      <c r="G40" s="7">
        <f t="shared" si="0"/>
        <v>307978</v>
      </c>
    </row>
    <row r="41" spans="1:7" ht="15.6" x14ac:dyDescent="0.3">
      <c r="A41" s="5">
        <v>43987</v>
      </c>
      <c r="B41" s="2" t="s">
        <v>12</v>
      </c>
      <c r="C41" s="2" t="s">
        <v>22</v>
      </c>
      <c r="D41" s="2" t="s">
        <v>11</v>
      </c>
      <c r="E41" s="2">
        <v>2900</v>
      </c>
      <c r="F41" s="2">
        <v>20</v>
      </c>
      <c r="G41" s="8">
        <f t="shared" si="0"/>
        <v>58000</v>
      </c>
    </row>
    <row r="42" spans="1:7" ht="15.6" x14ac:dyDescent="0.3">
      <c r="A42" s="4">
        <v>43991</v>
      </c>
      <c r="B42" s="1" t="s">
        <v>10</v>
      </c>
      <c r="C42" s="1" t="s">
        <v>20</v>
      </c>
      <c r="D42" s="1" t="s">
        <v>18</v>
      </c>
      <c r="E42" s="1">
        <v>33000</v>
      </c>
      <c r="F42" s="1">
        <v>16</v>
      </c>
      <c r="G42" s="7">
        <f t="shared" si="0"/>
        <v>528000</v>
      </c>
    </row>
    <row r="43" spans="1:7" ht="15.6" x14ac:dyDescent="0.3">
      <c r="A43" s="5">
        <v>43995</v>
      </c>
      <c r="B43" s="2" t="s">
        <v>12</v>
      </c>
      <c r="C43" s="2" t="s">
        <v>20</v>
      </c>
      <c r="D43" s="2" t="s">
        <v>11</v>
      </c>
      <c r="E43" s="2">
        <v>22000</v>
      </c>
      <c r="F43" s="2">
        <v>17</v>
      </c>
      <c r="G43" s="8">
        <f t="shared" si="0"/>
        <v>374000</v>
      </c>
    </row>
    <row r="44" spans="1:7" ht="15.6" x14ac:dyDescent="0.3">
      <c r="A44" s="4">
        <v>43999</v>
      </c>
      <c r="B44" s="1" t="s">
        <v>23</v>
      </c>
      <c r="C44" s="1" t="s">
        <v>22</v>
      </c>
      <c r="D44" s="1" t="s">
        <v>11</v>
      </c>
      <c r="E44" s="1">
        <v>699</v>
      </c>
      <c r="F44" s="1">
        <v>50</v>
      </c>
      <c r="G44" s="7">
        <f t="shared" si="0"/>
        <v>34950</v>
      </c>
    </row>
    <row r="45" spans="1:7" ht="15.6" x14ac:dyDescent="0.3">
      <c r="A45" s="5">
        <v>44003</v>
      </c>
      <c r="B45" s="2" t="s">
        <v>19</v>
      </c>
      <c r="C45" s="2" t="s">
        <v>20</v>
      </c>
      <c r="D45" s="2" t="s">
        <v>14</v>
      </c>
      <c r="E45" s="2">
        <v>499</v>
      </c>
      <c r="F45" s="2">
        <v>4</v>
      </c>
      <c r="G45" s="8">
        <f t="shared" si="0"/>
        <v>1996</v>
      </c>
    </row>
    <row r="46" spans="1:7" ht="15.6" x14ac:dyDescent="0.3">
      <c r="A46" s="4">
        <v>44007</v>
      </c>
      <c r="B46" s="1" t="s">
        <v>10</v>
      </c>
      <c r="C46" s="1" t="s">
        <v>22</v>
      </c>
      <c r="D46" s="1" t="s">
        <v>18</v>
      </c>
      <c r="E46" s="1">
        <v>590</v>
      </c>
      <c r="F46" s="1">
        <v>43</v>
      </c>
      <c r="G46" s="7">
        <f t="shared" si="0"/>
        <v>25370</v>
      </c>
    </row>
    <row r="47" spans="1:7" ht="15.6" x14ac:dyDescent="0.3">
      <c r="A47" s="5">
        <v>44011</v>
      </c>
      <c r="B47" s="2" t="s">
        <v>23</v>
      </c>
      <c r="C47" s="2" t="s">
        <v>22</v>
      </c>
      <c r="D47" s="2" t="s">
        <v>11</v>
      </c>
      <c r="E47" s="2">
        <v>590</v>
      </c>
      <c r="F47" s="2">
        <v>42</v>
      </c>
      <c r="G47" s="8">
        <f t="shared" si="0"/>
        <v>24780</v>
      </c>
    </row>
    <row r="48" spans="1:7" ht="15.6" x14ac:dyDescent="0.3">
      <c r="A48" s="4">
        <v>44015</v>
      </c>
      <c r="B48" s="1" t="s">
        <v>10</v>
      </c>
      <c r="C48" s="1" t="s">
        <v>16</v>
      </c>
      <c r="D48" s="1" t="s">
        <v>9</v>
      </c>
      <c r="E48" s="1">
        <v>120</v>
      </c>
      <c r="F48" s="1">
        <v>9</v>
      </c>
      <c r="G48" s="7">
        <f t="shared" si="0"/>
        <v>1080</v>
      </c>
    </row>
    <row r="49" spans="1:7" ht="15.6" x14ac:dyDescent="0.3">
      <c r="A49" s="5">
        <v>44019</v>
      </c>
      <c r="B49" s="2" t="s">
        <v>19</v>
      </c>
      <c r="C49" s="2" t="s">
        <v>20</v>
      </c>
      <c r="D49" s="2" t="s">
        <v>21</v>
      </c>
      <c r="E49" s="2">
        <v>52000</v>
      </c>
      <c r="F49" s="2">
        <v>40</v>
      </c>
      <c r="G49" s="8">
        <f t="shared" si="0"/>
        <v>2080000</v>
      </c>
    </row>
    <row r="50" spans="1:7" ht="15.6" x14ac:dyDescent="0.3">
      <c r="A50" s="4">
        <v>44023</v>
      </c>
      <c r="B50" s="1" t="s">
        <v>12</v>
      </c>
      <c r="C50" s="1" t="s">
        <v>13</v>
      </c>
      <c r="D50" s="1" t="s">
        <v>18</v>
      </c>
      <c r="E50" s="1">
        <v>7999</v>
      </c>
      <c r="F50" s="1">
        <v>14</v>
      </c>
      <c r="G50" s="7">
        <f t="shared" si="0"/>
        <v>111986</v>
      </c>
    </row>
    <row r="51" spans="1:7" ht="15.6" x14ac:dyDescent="0.3">
      <c r="A51" s="5">
        <v>44027</v>
      </c>
      <c r="B51" s="2" t="s">
        <v>10</v>
      </c>
      <c r="C51" s="2" t="s">
        <v>13</v>
      </c>
      <c r="D51" s="2" t="s">
        <v>21</v>
      </c>
      <c r="E51" s="2">
        <v>550</v>
      </c>
      <c r="F51" s="2">
        <v>9</v>
      </c>
      <c r="G51" s="8">
        <f t="shared" si="0"/>
        <v>4950</v>
      </c>
    </row>
    <row r="52" spans="1:7" ht="15.6" x14ac:dyDescent="0.3">
      <c r="A52" s="4">
        <v>44031</v>
      </c>
      <c r="B52" s="1" t="s">
        <v>12</v>
      </c>
      <c r="C52" s="1" t="s">
        <v>16</v>
      </c>
      <c r="D52" s="1" t="s">
        <v>18</v>
      </c>
      <c r="E52" s="1">
        <v>79999</v>
      </c>
      <c r="F52" s="1">
        <v>10</v>
      </c>
      <c r="G52" s="7">
        <f t="shared" si="0"/>
        <v>799990</v>
      </c>
    </row>
    <row r="53" spans="1:7" ht="15.6" x14ac:dyDescent="0.3">
      <c r="A53" s="5">
        <v>44035</v>
      </c>
      <c r="B53" s="2" t="s">
        <v>23</v>
      </c>
      <c r="C53" s="2" t="s">
        <v>22</v>
      </c>
      <c r="D53" s="2" t="s">
        <v>18</v>
      </c>
      <c r="E53" s="2">
        <v>1999</v>
      </c>
      <c r="F53" s="2">
        <v>37</v>
      </c>
      <c r="G53" s="8">
        <f t="shared" si="0"/>
        <v>73963</v>
      </c>
    </row>
    <row r="54" spans="1:7" ht="15.6" x14ac:dyDescent="0.3">
      <c r="A54" s="4">
        <v>44039</v>
      </c>
      <c r="B54" s="1" t="s">
        <v>19</v>
      </c>
      <c r="C54" s="1" t="s">
        <v>20</v>
      </c>
      <c r="D54" s="1" t="s">
        <v>14</v>
      </c>
      <c r="E54" s="1">
        <v>89999</v>
      </c>
      <c r="F54" s="1">
        <v>29</v>
      </c>
      <c r="G54" s="7">
        <f t="shared" si="0"/>
        <v>2609971</v>
      </c>
    </row>
    <row r="55" spans="1:7" ht="15.6" x14ac:dyDescent="0.3">
      <c r="A55" s="5">
        <v>44043</v>
      </c>
      <c r="B55" s="2" t="s">
        <v>10</v>
      </c>
      <c r="C55" s="2" t="s">
        <v>16</v>
      </c>
      <c r="D55" s="2" t="s">
        <v>18</v>
      </c>
      <c r="E55" s="2">
        <v>78500</v>
      </c>
      <c r="F55" s="2">
        <v>44</v>
      </c>
      <c r="G55" s="8">
        <f t="shared" si="0"/>
        <v>3454000</v>
      </c>
    </row>
    <row r="56" spans="1:7" ht="15.6" x14ac:dyDescent="0.3">
      <c r="A56" s="4">
        <v>44047</v>
      </c>
      <c r="B56" s="1" t="s">
        <v>19</v>
      </c>
      <c r="C56" s="1" t="s">
        <v>20</v>
      </c>
      <c r="D56" s="1" t="s">
        <v>11</v>
      </c>
      <c r="E56" s="1">
        <v>3990</v>
      </c>
      <c r="F56" s="1">
        <v>31</v>
      </c>
      <c r="G56" s="7">
        <f t="shared" si="0"/>
        <v>123690</v>
      </c>
    </row>
    <row r="57" spans="1:7" ht="15.6" x14ac:dyDescent="0.3">
      <c r="A57" s="5">
        <v>44051</v>
      </c>
      <c r="B57" s="2" t="s">
        <v>12</v>
      </c>
      <c r="C57" s="2" t="s">
        <v>20</v>
      </c>
      <c r="D57" s="2" t="s">
        <v>18</v>
      </c>
      <c r="E57" s="2">
        <v>52000</v>
      </c>
      <c r="F57" s="2">
        <v>29</v>
      </c>
      <c r="G57" s="8">
        <f t="shared" si="0"/>
        <v>1508000</v>
      </c>
    </row>
    <row r="58" spans="1:7" ht="15.6" x14ac:dyDescent="0.3">
      <c r="A58" s="4">
        <v>44055</v>
      </c>
      <c r="B58" s="1" t="s">
        <v>7</v>
      </c>
      <c r="C58" s="1" t="s">
        <v>16</v>
      </c>
      <c r="D58" s="1" t="s">
        <v>18</v>
      </c>
      <c r="E58" s="1">
        <v>13999</v>
      </c>
      <c r="F58" s="1">
        <v>34</v>
      </c>
      <c r="G58" s="7">
        <f t="shared" si="0"/>
        <v>475966</v>
      </c>
    </row>
    <row r="59" spans="1:7" ht="15.6" x14ac:dyDescent="0.3">
      <c r="A59" s="5">
        <v>44059</v>
      </c>
      <c r="B59" s="2" t="s">
        <v>10</v>
      </c>
      <c r="C59" s="2" t="s">
        <v>17</v>
      </c>
      <c r="D59" s="2" t="s">
        <v>11</v>
      </c>
      <c r="E59" s="2">
        <v>120</v>
      </c>
      <c r="F59" s="2">
        <v>29</v>
      </c>
      <c r="G59" s="8">
        <f t="shared" si="0"/>
        <v>3480</v>
      </c>
    </row>
    <row r="60" spans="1:7" ht="15.6" x14ac:dyDescent="0.3">
      <c r="A60" s="4">
        <v>44063</v>
      </c>
      <c r="B60" s="1" t="s">
        <v>19</v>
      </c>
      <c r="C60" s="1" t="s">
        <v>13</v>
      </c>
      <c r="D60" s="1" t="s">
        <v>11</v>
      </c>
      <c r="E60" s="1">
        <v>23999</v>
      </c>
      <c r="F60" s="1">
        <v>25</v>
      </c>
      <c r="G60" s="7">
        <f t="shared" si="0"/>
        <v>599975</v>
      </c>
    </row>
    <row r="61" spans="1:7" ht="15.6" x14ac:dyDescent="0.3">
      <c r="A61" s="5">
        <v>44067</v>
      </c>
      <c r="B61" s="2" t="s">
        <v>19</v>
      </c>
      <c r="C61" s="2" t="s">
        <v>16</v>
      </c>
      <c r="D61" s="2" t="s">
        <v>18</v>
      </c>
      <c r="E61" s="2">
        <v>45000</v>
      </c>
      <c r="F61" s="2">
        <v>31</v>
      </c>
      <c r="G61" s="8">
        <f t="shared" si="0"/>
        <v>1395000</v>
      </c>
    </row>
    <row r="62" spans="1:7" ht="15.6" x14ac:dyDescent="0.3">
      <c r="A62" s="4">
        <v>44071</v>
      </c>
      <c r="B62" s="1" t="s">
        <v>10</v>
      </c>
      <c r="C62" s="1" t="s">
        <v>22</v>
      </c>
      <c r="D62" s="1" t="s">
        <v>11</v>
      </c>
      <c r="E62" s="1">
        <v>450</v>
      </c>
      <c r="F62" s="1">
        <v>16</v>
      </c>
      <c r="G62" s="7">
        <f t="shared" si="0"/>
        <v>7200</v>
      </c>
    </row>
    <row r="63" spans="1:7" ht="15.6" x14ac:dyDescent="0.3">
      <c r="A63" s="5">
        <v>44075</v>
      </c>
      <c r="B63" s="2" t="s">
        <v>15</v>
      </c>
      <c r="C63" s="2" t="s">
        <v>17</v>
      </c>
      <c r="D63" s="2" t="s">
        <v>18</v>
      </c>
      <c r="E63" s="2">
        <v>65000</v>
      </c>
      <c r="F63" s="2">
        <v>48</v>
      </c>
      <c r="G63" s="8">
        <f t="shared" si="0"/>
        <v>3120000</v>
      </c>
    </row>
    <row r="64" spans="1:7" ht="15.6" x14ac:dyDescent="0.3">
      <c r="A64" s="4">
        <v>44079</v>
      </c>
      <c r="B64" s="1" t="s">
        <v>12</v>
      </c>
      <c r="C64" s="1" t="s">
        <v>16</v>
      </c>
      <c r="D64" s="1" t="s">
        <v>21</v>
      </c>
      <c r="E64" s="1">
        <v>35600</v>
      </c>
      <c r="F64" s="1">
        <v>22</v>
      </c>
      <c r="G64" s="7">
        <f t="shared" si="0"/>
        <v>783200</v>
      </c>
    </row>
    <row r="65" spans="1:7" ht="15.6" x14ac:dyDescent="0.3">
      <c r="A65" s="5">
        <v>44083</v>
      </c>
      <c r="B65" s="2" t="s">
        <v>23</v>
      </c>
      <c r="C65" s="2" t="s">
        <v>22</v>
      </c>
      <c r="D65" s="2" t="s">
        <v>14</v>
      </c>
      <c r="E65" s="2">
        <v>699</v>
      </c>
      <c r="F65" s="2">
        <v>6</v>
      </c>
      <c r="G65" s="8">
        <f t="shared" si="0"/>
        <v>4194</v>
      </c>
    </row>
    <row r="66" spans="1:7" ht="15.6" x14ac:dyDescent="0.3">
      <c r="A66" s="4">
        <v>44087</v>
      </c>
      <c r="B66" s="1" t="s">
        <v>10</v>
      </c>
      <c r="C66" s="1" t="s">
        <v>22</v>
      </c>
      <c r="D66" s="1" t="s">
        <v>11</v>
      </c>
      <c r="E66" s="1">
        <v>990</v>
      </c>
      <c r="F66" s="1">
        <v>12</v>
      </c>
      <c r="G66" s="7">
        <f t="shared" si="0"/>
        <v>11880</v>
      </c>
    </row>
    <row r="67" spans="1:7" ht="15.6" x14ac:dyDescent="0.3">
      <c r="A67" s="5">
        <v>44091</v>
      </c>
      <c r="B67" s="2" t="s">
        <v>23</v>
      </c>
      <c r="C67" s="2" t="s">
        <v>16</v>
      </c>
      <c r="D67" s="2" t="s">
        <v>9</v>
      </c>
      <c r="E67" s="2">
        <v>450</v>
      </c>
      <c r="F67" s="2">
        <v>44</v>
      </c>
      <c r="G67" s="8">
        <f t="shared" ref="G67:G130" si="1">E67*F67</f>
        <v>19800</v>
      </c>
    </row>
    <row r="68" spans="1:7" ht="15.6" x14ac:dyDescent="0.3">
      <c r="A68" s="4">
        <v>44095</v>
      </c>
      <c r="B68" s="1" t="s">
        <v>23</v>
      </c>
      <c r="C68" s="1" t="s">
        <v>22</v>
      </c>
      <c r="D68" s="1" t="s">
        <v>14</v>
      </c>
      <c r="E68" s="1">
        <v>1499</v>
      </c>
      <c r="F68" s="1">
        <v>15</v>
      </c>
      <c r="G68" s="7">
        <f t="shared" si="1"/>
        <v>22485</v>
      </c>
    </row>
    <row r="69" spans="1:7" ht="15.6" x14ac:dyDescent="0.3">
      <c r="A69" s="5">
        <v>44099</v>
      </c>
      <c r="B69" s="2" t="s">
        <v>7</v>
      </c>
      <c r="C69" s="2" t="s">
        <v>8</v>
      </c>
      <c r="D69" s="2" t="s">
        <v>21</v>
      </c>
      <c r="E69" s="2">
        <v>499</v>
      </c>
      <c r="F69" s="2">
        <v>26</v>
      </c>
      <c r="G69" s="8">
        <f t="shared" si="1"/>
        <v>12974</v>
      </c>
    </row>
    <row r="70" spans="1:7" ht="15.6" x14ac:dyDescent="0.3">
      <c r="A70" s="4">
        <v>44103</v>
      </c>
      <c r="B70" s="1" t="s">
        <v>12</v>
      </c>
      <c r="C70" s="1" t="s">
        <v>16</v>
      </c>
      <c r="D70" s="1" t="s">
        <v>21</v>
      </c>
      <c r="E70" s="1">
        <v>44000</v>
      </c>
      <c r="F70" s="1">
        <v>16</v>
      </c>
      <c r="G70" s="7">
        <f t="shared" si="1"/>
        <v>704000</v>
      </c>
    </row>
    <row r="71" spans="1:7" ht="15.6" x14ac:dyDescent="0.3">
      <c r="A71" s="5">
        <v>44107</v>
      </c>
      <c r="B71" s="2" t="s">
        <v>7</v>
      </c>
      <c r="C71" s="2" t="s">
        <v>8</v>
      </c>
      <c r="D71" s="2" t="s">
        <v>18</v>
      </c>
      <c r="E71" s="2">
        <v>5599</v>
      </c>
      <c r="F71" s="2">
        <v>35</v>
      </c>
      <c r="G71" s="8">
        <f t="shared" si="1"/>
        <v>195965</v>
      </c>
    </row>
    <row r="72" spans="1:7" ht="15.6" x14ac:dyDescent="0.3">
      <c r="A72" s="4">
        <v>44111</v>
      </c>
      <c r="B72" s="1" t="s">
        <v>15</v>
      </c>
      <c r="C72" s="1" t="s">
        <v>16</v>
      </c>
      <c r="D72" s="1" t="s">
        <v>9</v>
      </c>
      <c r="E72" s="1">
        <v>54100</v>
      </c>
      <c r="F72" s="1">
        <v>36</v>
      </c>
      <c r="G72" s="7">
        <f t="shared" si="1"/>
        <v>1947600</v>
      </c>
    </row>
    <row r="73" spans="1:7" ht="15.6" x14ac:dyDescent="0.3">
      <c r="A73" s="5">
        <v>44115</v>
      </c>
      <c r="B73" s="2" t="s">
        <v>7</v>
      </c>
      <c r="C73" s="2" t="s">
        <v>8</v>
      </c>
      <c r="D73" s="2" t="s">
        <v>14</v>
      </c>
      <c r="E73" s="2">
        <v>2550</v>
      </c>
      <c r="F73" s="2">
        <v>20</v>
      </c>
      <c r="G73" s="8">
        <f t="shared" si="1"/>
        <v>51000</v>
      </c>
    </row>
    <row r="74" spans="1:7" ht="15.6" x14ac:dyDescent="0.3">
      <c r="A74" s="4">
        <v>44119</v>
      </c>
      <c r="B74" s="1" t="s">
        <v>10</v>
      </c>
      <c r="C74" s="1" t="s">
        <v>16</v>
      </c>
      <c r="D74" s="1" t="s">
        <v>14</v>
      </c>
      <c r="E74" s="1">
        <v>1450</v>
      </c>
      <c r="F74" s="1">
        <v>47</v>
      </c>
      <c r="G74" s="7">
        <f t="shared" si="1"/>
        <v>68150</v>
      </c>
    </row>
    <row r="75" spans="1:7" ht="15.6" x14ac:dyDescent="0.3">
      <c r="A75" s="5">
        <v>44123</v>
      </c>
      <c r="B75" s="2" t="s">
        <v>23</v>
      </c>
      <c r="C75" s="2" t="s">
        <v>22</v>
      </c>
      <c r="D75" s="2" t="s">
        <v>18</v>
      </c>
      <c r="E75" s="2">
        <v>2900</v>
      </c>
      <c r="F75" s="2">
        <v>6</v>
      </c>
      <c r="G75" s="8">
        <f t="shared" si="1"/>
        <v>17400</v>
      </c>
    </row>
    <row r="76" spans="1:7" ht="15.6" x14ac:dyDescent="0.3">
      <c r="A76" s="4">
        <v>44127</v>
      </c>
      <c r="B76" s="1" t="s">
        <v>15</v>
      </c>
      <c r="C76" s="1" t="s">
        <v>16</v>
      </c>
      <c r="D76" s="1" t="s">
        <v>21</v>
      </c>
      <c r="E76" s="1">
        <v>65200</v>
      </c>
      <c r="F76" s="1">
        <v>6</v>
      </c>
      <c r="G76" s="7">
        <f t="shared" si="1"/>
        <v>391200</v>
      </c>
    </row>
    <row r="77" spans="1:7" ht="15.6" x14ac:dyDescent="0.3">
      <c r="A77" s="5">
        <v>44131</v>
      </c>
      <c r="B77" s="2" t="s">
        <v>10</v>
      </c>
      <c r="C77" s="2" t="s">
        <v>20</v>
      </c>
      <c r="D77" s="2" t="s">
        <v>21</v>
      </c>
      <c r="E77" s="2">
        <v>52000</v>
      </c>
      <c r="F77" s="2">
        <v>41</v>
      </c>
      <c r="G77" s="8">
        <f t="shared" si="1"/>
        <v>2132000</v>
      </c>
    </row>
    <row r="78" spans="1:7" ht="15.6" x14ac:dyDescent="0.3">
      <c r="A78" s="4">
        <v>44135</v>
      </c>
      <c r="B78" s="1" t="s">
        <v>12</v>
      </c>
      <c r="C78" s="1" t="s">
        <v>16</v>
      </c>
      <c r="D78" s="1" t="s">
        <v>11</v>
      </c>
      <c r="E78" s="1">
        <v>59000</v>
      </c>
      <c r="F78" s="1">
        <v>29</v>
      </c>
      <c r="G78" s="7">
        <f t="shared" si="1"/>
        <v>1711000</v>
      </c>
    </row>
    <row r="79" spans="1:7" ht="15.6" x14ac:dyDescent="0.3">
      <c r="A79" s="5">
        <v>44139</v>
      </c>
      <c r="B79" s="2" t="s">
        <v>19</v>
      </c>
      <c r="C79" s="2" t="s">
        <v>13</v>
      </c>
      <c r="D79" s="2" t="s">
        <v>21</v>
      </c>
      <c r="E79" s="2">
        <v>7999</v>
      </c>
      <c r="F79" s="2">
        <v>31</v>
      </c>
      <c r="G79" s="8">
        <f t="shared" si="1"/>
        <v>247969</v>
      </c>
    </row>
    <row r="80" spans="1:7" ht="15.6" x14ac:dyDescent="0.3">
      <c r="A80" s="4">
        <v>44143</v>
      </c>
      <c r="B80" s="1" t="s">
        <v>10</v>
      </c>
      <c r="C80" s="1" t="s">
        <v>17</v>
      </c>
      <c r="D80" s="1" t="s">
        <v>11</v>
      </c>
      <c r="E80" s="1">
        <v>45000</v>
      </c>
      <c r="F80" s="1">
        <v>34</v>
      </c>
      <c r="G80" s="7">
        <f t="shared" si="1"/>
        <v>1530000</v>
      </c>
    </row>
    <row r="81" spans="1:7" ht="15.6" x14ac:dyDescent="0.3">
      <c r="A81" s="5">
        <v>44147</v>
      </c>
      <c r="B81" s="2" t="s">
        <v>23</v>
      </c>
      <c r="C81" s="2" t="s">
        <v>22</v>
      </c>
      <c r="D81" s="2" t="s">
        <v>9</v>
      </c>
      <c r="E81" s="2">
        <v>990</v>
      </c>
      <c r="F81" s="2">
        <v>43</v>
      </c>
      <c r="G81" s="8">
        <f t="shared" si="1"/>
        <v>42570</v>
      </c>
    </row>
    <row r="82" spans="1:7" ht="15.6" x14ac:dyDescent="0.3">
      <c r="A82" s="4">
        <v>44151</v>
      </c>
      <c r="B82" s="1" t="s">
        <v>19</v>
      </c>
      <c r="C82" s="1" t="s">
        <v>20</v>
      </c>
      <c r="D82" s="1" t="s">
        <v>9</v>
      </c>
      <c r="E82" s="1">
        <v>11999</v>
      </c>
      <c r="F82" s="1">
        <v>37</v>
      </c>
      <c r="G82" s="7">
        <f t="shared" si="1"/>
        <v>443963</v>
      </c>
    </row>
    <row r="83" spans="1:7" ht="15.6" x14ac:dyDescent="0.3">
      <c r="A83" s="5">
        <v>44155</v>
      </c>
      <c r="B83" s="2" t="s">
        <v>19</v>
      </c>
      <c r="C83" s="2" t="s">
        <v>13</v>
      </c>
      <c r="D83" s="2" t="s">
        <v>9</v>
      </c>
      <c r="E83" s="2">
        <v>960</v>
      </c>
      <c r="F83" s="2">
        <v>7</v>
      </c>
      <c r="G83" s="8">
        <f t="shared" si="1"/>
        <v>6720</v>
      </c>
    </row>
    <row r="84" spans="1:7" ht="15.6" x14ac:dyDescent="0.3">
      <c r="A84" s="4">
        <v>44159</v>
      </c>
      <c r="B84" s="1" t="s">
        <v>10</v>
      </c>
      <c r="C84" s="1" t="s">
        <v>8</v>
      </c>
      <c r="D84" s="1" t="s">
        <v>14</v>
      </c>
      <c r="E84" s="1">
        <v>1450</v>
      </c>
      <c r="F84" s="1">
        <v>19</v>
      </c>
      <c r="G84" s="7">
        <f t="shared" si="1"/>
        <v>27550</v>
      </c>
    </row>
    <row r="85" spans="1:7" ht="15.6" x14ac:dyDescent="0.3">
      <c r="A85" s="5">
        <v>44163</v>
      </c>
      <c r="B85" s="2" t="s">
        <v>12</v>
      </c>
      <c r="C85" s="2" t="s">
        <v>16</v>
      </c>
      <c r="D85" s="2" t="s">
        <v>11</v>
      </c>
      <c r="E85" s="2">
        <v>45000</v>
      </c>
      <c r="F85" s="2">
        <v>47</v>
      </c>
      <c r="G85" s="8">
        <f t="shared" si="1"/>
        <v>2115000</v>
      </c>
    </row>
    <row r="86" spans="1:7" ht="15.6" x14ac:dyDescent="0.3">
      <c r="A86" s="4">
        <v>44167</v>
      </c>
      <c r="B86" s="1" t="s">
        <v>10</v>
      </c>
      <c r="C86" s="1" t="s">
        <v>22</v>
      </c>
      <c r="D86" s="1" t="s">
        <v>11</v>
      </c>
      <c r="E86" s="1">
        <v>1499</v>
      </c>
      <c r="F86" s="1">
        <v>37</v>
      </c>
      <c r="G86" s="7">
        <f t="shared" si="1"/>
        <v>55463</v>
      </c>
    </row>
    <row r="87" spans="1:7" ht="15.6" x14ac:dyDescent="0.3">
      <c r="A87" s="5">
        <v>44171</v>
      </c>
      <c r="B87" s="2" t="s">
        <v>19</v>
      </c>
      <c r="C87" s="2" t="s">
        <v>20</v>
      </c>
      <c r="D87" s="2" t="s">
        <v>14</v>
      </c>
      <c r="E87" s="2">
        <v>79999</v>
      </c>
      <c r="F87" s="2">
        <v>4</v>
      </c>
      <c r="G87" s="8">
        <f t="shared" si="1"/>
        <v>319996</v>
      </c>
    </row>
    <row r="88" spans="1:7" ht="15.6" x14ac:dyDescent="0.3">
      <c r="A88" s="4">
        <v>44175</v>
      </c>
      <c r="B88" s="1" t="s">
        <v>15</v>
      </c>
      <c r="C88" s="1" t="s">
        <v>16</v>
      </c>
      <c r="D88" s="1" t="s">
        <v>21</v>
      </c>
      <c r="E88" s="1">
        <v>999</v>
      </c>
      <c r="F88" s="1">
        <v>45</v>
      </c>
      <c r="G88" s="7">
        <f t="shared" si="1"/>
        <v>44955</v>
      </c>
    </row>
    <row r="89" spans="1:7" ht="15.6" x14ac:dyDescent="0.3">
      <c r="A89" s="5">
        <v>44179</v>
      </c>
      <c r="B89" s="2" t="s">
        <v>10</v>
      </c>
      <c r="C89" s="2" t="s">
        <v>20</v>
      </c>
      <c r="D89" s="2" t="s">
        <v>9</v>
      </c>
      <c r="E89" s="2">
        <v>52000</v>
      </c>
      <c r="F89" s="2">
        <v>15</v>
      </c>
      <c r="G89" s="8">
        <f t="shared" si="1"/>
        <v>780000</v>
      </c>
    </row>
    <row r="90" spans="1:7" ht="15.6" x14ac:dyDescent="0.3">
      <c r="A90" s="4">
        <v>44183</v>
      </c>
      <c r="B90" s="1" t="s">
        <v>12</v>
      </c>
      <c r="C90" s="1" t="s">
        <v>16</v>
      </c>
      <c r="D90" s="1" t="s">
        <v>18</v>
      </c>
      <c r="E90" s="1">
        <v>52000</v>
      </c>
      <c r="F90" s="1">
        <v>39</v>
      </c>
      <c r="G90" s="7">
        <f t="shared" si="1"/>
        <v>2028000</v>
      </c>
    </row>
    <row r="91" spans="1:7" ht="15.6" x14ac:dyDescent="0.3">
      <c r="A91" s="5">
        <v>44187</v>
      </c>
      <c r="B91" s="2" t="s">
        <v>19</v>
      </c>
      <c r="C91" s="2" t="s">
        <v>13</v>
      </c>
      <c r="D91" s="2" t="s">
        <v>14</v>
      </c>
      <c r="E91" s="2">
        <v>960</v>
      </c>
      <c r="F91" s="2">
        <v>33</v>
      </c>
      <c r="G91" s="8">
        <f t="shared" si="1"/>
        <v>31680</v>
      </c>
    </row>
    <row r="92" spans="1:7" ht="15.6" x14ac:dyDescent="0.3">
      <c r="A92" s="4">
        <v>44191</v>
      </c>
      <c r="B92" s="1" t="s">
        <v>19</v>
      </c>
      <c r="C92" s="1" t="s">
        <v>16</v>
      </c>
      <c r="D92" s="1" t="s">
        <v>18</v>
      </c>
      <c r="E92" s="1">
        <v>19500</v>
      </c>
      <c r="F92" s="1">
        <v>45</v>
      </c>
      <c r="G92" s="7">
        <f t="shared" si="1"/>
        <v>877500</v>
      </c>
    </row>
    <row r="93" spans="1:7" ht="15.6" x14ac:dyDescent="0.3">
      <c r="A93" s="5">
        <v>44195</v>
      </c>
      <c r="B93" s="2" t="s">
        <v>19</v>
      </c>
      <c r="C93" s="2" t="s">
        <v>20</v>
      </c>
      <c r="D93" s="2" t="s">
        <v>18</v>
      </c>
      <c r="E93" s="2">
        <v>2999</v>
      </c>
      <c r="F93" s="2">
        <v>33</v>
      </c>
      <c r="G93" s="8">
        <f t="shared" si="1"/>
        <v>98967</v>
      </c>
    </row>
    <row r="94" spans="1:7" ht="15.6" x14ac:dyDescent="0.3">
      <c r="A94" s="4">
        <v>44199</v>
      </c>
      <c r="B94" s="1" t="s">
        <v>10</v>
      </c>
      <c r="C94" s="1" t="s">
        <v>13</v>
      </c>
      <c r="D94" s="1" t="s">
        <v>21</v>
      </c>
      <c r="E94" s="1">
        <v>1250</v>
      </c>
      <c r="F94" s="1">
        <v>14</v>
      </c>
      <c r="G94" s="7">
        <f t="shared" si="1"/>
        <v>17500</v>
      </c>
    </row>
    <row r="95" spans="1:7" ht="15.6" x14ac:dyDescent="0.3">
      <c r="A95" s="5">
        <v>44203</v>
      </c>
      <c r="B95" s="2" t="s">
        <v>10</v>
      </c>
      <c r="C95" s="2" t="s">
        <v>17</v>
      </c>
      <c r="D95" s="2" t="s">
        <v>9</v>
      </c>
      <c r="E95" s="2">
        <v>120</v>
      </c>
      <c r="F95" s="2">
        <v>41</v>
      </c>
      <c r="G95" s="8">
        <f t="shared" si="1"/>
        <v>4920</v>
      </c>
    </row>
    <row r="96" spans="1:7" ht="15.6" x14ac:dyDescent="0.3">
      <c r="A96" s="4">
        <v>44207</v>
      </c>
      <c r="B96" s="1" t="s">
        <v>12</v>
      </c>
      <c r="C96" s="1" t="s">
        <v>8</v>
      </c>
      <c r="D96" s="1" t="s">
        <v>18</v>
      </c>
      <c r="E96" s="1">
        <v>1450</v>
      </c>
      <c r="F96" s="1">
        <v>22</v>
      </c>
      <c r="G96" s="7">
        <f t="shared" si="1"/>
        <v>31900</v>
      </c>
    </row>
    <row r="97" spans="1:7" ht="15.6" x14ac:dyDescent="0.3">
      <c r="A97" s="5">
        <v>44211</v>
      </c>
      <c r="B97" s="2" t="s">
        <v>19</v>
      </c>
      <c r="C97" s="2" t="s">
        <v>20</v>
      </c>
      <c r="D97" s="2" t="s">
        <v>9</v>
      </c>
      <c r="E97" s="2">
        <v>89999</v>
      </c>
      <c r="F97" s="2">
        <v>15</v>
      </c>
      <c r="G97" s="8">
        <f t="shared" si="1"/>
        <v>1349985</v>
      </c>
    </row>
    <row r="98" spans="1:7" ht="15.6" x14ac:dyDescent="0.3">
      <c r="A98" s="4">
        <v>44215</v>
      </c>
      <c r="B98" s="1" t="s">
        <v>23</v>
      </c>
      <c r="C98" s="1" t="s">
        <v>16</v>
      </c>
      <c r="D98" s="1" t="s">
        <v>14</v>
      </c>
      <c r="E98" s="1">
        <v>1999</v>
      </c>
      <c r="F98" s="1">
        <v>48</v>
      </c>
      <c r="G98" s="7">
        <f t="shared" si="1"/>
        <v>95952</v>
      </c>
    </row>
    <row r="99" spans="1:7" ht="15.6" x14ac:dyDescent="0.3">
      <c r="A99" s="5">
        <v>44219</v>
      </c>
      <c r="B99" s="2" t="s">
        <v>23</v>
      </c>
      <c r="C99" s="2" t="s">
        <v>22</v>
      </c>
      <c r="D99" s="2" t="s">
        <v>18</v>
      </c>
      <c r="E99" s="2">
        <v>2900</v>
      </c>
      <c r="F99" s="2">
        <v>49</v>
      </c>
      <c r="G99" s="8">
        <f t="shared" si="1"/>
        <v>142100</v>
      </c>
    </row>
    <row r="100" spans="1:7" ht="15.6" x14ac:dyDescent="0.3">
      <c r="A100" s="4">
        <v>44223</v>
      </c>
      <c r="B100" s="1" t="s">
        <v>19</v>
      </c>
      <c r="C100" s="1" t="s">
        <v>20</v>
      </c>
      <c r="D100" s="1" t="s">
        <v>21</v>
      </c>
      <c r="E100" s="1">
        <v>700</v>
      </c>
      <c r="F100" s="1">
        <v>50</v>
      </c>
      <c r="G100" s="7">
        <f t="shared" si="1"/>
        <v>35000</v>
      </c>
    </row>
    <row r="101" spans="1:7" ht="15.6" x14ac:dyDescent="0.3">
      <c r="A101" s="5">
        <v>44227</v>
      </c>
      <c r="B101" s="2" t="s">
        <v>15</v>
      </c>
      <c r="C101" s="2" t="s">
        <v>17</v>
      </c>
      <c r="D101" s="2" t="s">
        <v>18</v>
      </c>
      <c r="E101" s="2">
        <v>200</v>
      </c>
      <c r="F101" s="2">
        <v>41</v>
      </c>
      <c r="G101" s="8">
        <f t="shared" si="1"/>
        <v>8200</v>
      </c>
    </row>
    <row r="102" spans="1:7" ht="15.6" x14ac:dyDescent="0.3">
      <c r="A102" s="4">
        <v>44231</v>
      </c>
      <c r="B102" s="1" t="s">
        <v>12</v>
      </c>
      <c r="C102" s="1" t="s">
        <v>16</v>
      </c>
      <c r="D102" s="1" t="s">
        <v>11</v>
      </c>
      <c r="E102" s="1">
        <v>49000</v>
      </c>
      <c r="F102" s="1">
        <v>29</v>
      </c>
      <c r="G102" s="7">
        <f t="shared" si="1"/>
        <v>1421000</v>
      </c>
    </row>
    <row r="103" spans="1:7" ht="15.6" x14ac:dyDescent="0.3">
      <c r="A103" s="5">
        <v>44235</v>
      </c>
      <c r="B103" s="2" t="s">
        <v>7</v>
      </c>
      <c r="C103" s="2" t="s">
        <v>8</v>
      </c>
      <c r="D103" s="2" t="s">
        <v>21</v>
      </c>
      <c r="E103" s="2">
        <v>5599</v>
      </c>
      <c r="F103" s="2">
        <v>36</v>
      </c>
      <c r="G103" s="8">
        <f t="shared" si="1"/>
        <v>201564</v>
      </c>
    </row>
    <row r="104" spans="1:7" ht="15.6" x14ac:dyDescent="0.3">
      <c r="A104" s="4">
        <v>44239</v>
      </c>
      <c r="B104" s="1" t="s">
        <v>15</v>
      </c>
      <c r="C104" s="1" t="s">
        <v>17</v>
      </c>
      <c r="D104" s="1" t="s">
        <v>18</v>
      </c>
      <c r="E104" s="1">
        <v>13500</v>
      </c>
      <c r="F104" s="1">
        <v>39</v>
      </c>
      <c r="G104" s="7">
        <f t="shared" si="1"/>
        <v>526500</v>
      </c>
    </row>
    <row r="105" spans="1:7" ht="15.6" x14ac:dyDescent="0.3">
      <c r="A105" s="5">
        <v>44243</v>
      </c>
      <c r="B105" s="2" t="s">
        <v>12</v>
      </c>
      <c r="C105" s="2" t="s">
        <v>20</v>
      </c>
      <c r="D105" s="2" t="s">
        <v>18</v>
      </c>
      <c r="E105" s="2">
        <v>79999</v>
      </c>
      <c r="F105" s="2">
        <v>9</v>
      </c>
      <c r="G105" s="8">
        <f t="shared" si="1"/>
        <v>719991</v>
      </c>
    </row>
    <row r="106" spans="1:7" ht="15.6" x14ac:dyDescent="0.3">
      <c r="A106" s="4">
        <v>44247</v>
      </c>
      <c r="B106" s="1" t="s">
        <v>19</v>
      </c>
      <c r="C106" s="1" t="s">
        <v>16</v>
      </c>
      <c r="D106" s="1" t="s">
        <v>14</v>
      </c>
      <c r="E106" s="1">
        <v>75200</v>
      </c>
      <c r="F106" s="1">
        <v>38</v>
      </c>
      <c r="G106" s="7">
        <f t="shared" si="1"/>
        <v>2857600</v>
      </c>
    </row>
    <row r="107" spans="1:7" ht="15.6" x14ac:dyDescent="0.3">
      <c r="A107" s="5">
        <v>44251</v>
      </c>
      <c r="B107" s="2" t="s">
        <v>19</v>
      </c>
      <c r="C107" s="2" t="s">
        <v>13</v>
      </c>
      <c r="D107" s="2" t="s">
        <v>9</v>
      </c>
      <c r="E107" s="2">
        <v>550</v>
      </c>
      <c r="F107" s="2">
        <v>25</v>
      </c>
      <c r="G107" s="8">
        <f t="shared" si="1"/>
        <v>13750</v>
      </c>
    </row>
    <row r="108" spans="1:7" ht="15.6" x14ac:dyDescent="0.3">
      <c r="A108" s="4">
        <v>44255</v>
      </c>
      <c r="B108" s="1" t="s">
        <v>7</v>
      </c>
      <c r="C108" s="1" t="s">
        <v>8</v>
      </c>
      <c r="D108" s="1" t="s">
        <v>9</v>
      </c>
      <c r="E108" s="1">
        <v>499</v>
      </c>
      <c r="F108" s="1">
        <v>50</v>
      </c>
      <c r="G108" s="7">
        <f t="shared" si="1"/>
        <v>24950</v>
      </c>
    </row>
    <row r="109" spans="1:7" ht="15.6" x14ac:dyDescent="0.3">
      <c r="A109" s="5">
        <v>44259</v>
      </c>
      <c r="B109" s="2" t="s">
        <v>7</v>
      </c>
      <c r="C109" s="2" t="s">
        <v>8</v>
      </c>
      <c r="D109" s="2" t="s">
        <v>11</v>
      </c>
      <c r="E109" s="2">
        <v>5599</v>
      </c>
      <c r="F109" s="2">
        <v>33</v>
      </c>
      <c r="G109" s="8">
        <f t="shared" si="1"/>
        <v>184767</v>
      </c>
    </row>
    <row r="110" spans="1:7" ht="15.6" x14ac:dyDescent="0.3">
      <c r="A110" s="4">
        <v>44263</v>
      </c>
      <c r="B110" s="1" t="s">
        <v>12</v>
      </c>
      <c r="C110" s="1" t="s">
        <v>13</v>
      </c>
      <c r="D110" s="1" t="s">
        <v>14</v>
      </c>
      <c r="E110" s="1">
        <v>1450</v>
      </c>
      <c r="F110" s="1">
        <v>44</v>
      </c>
      <c r="G110" s="7">
        <f t="shared" si="1"/>
        <v>63800</v>
      </c>
    </row>
    <row r="111" spans="1:7" ht="15.6" x14ac:dyDescent="0.3">
      <c r="A111" s="5">
        <v>44267</v>
      </c>
      <c r="B111" s="2" t="s">
        <v>15</v>
      </c>
      <c r="C111" s="2" t="s">
        <v>17</v>
      </c>
      <c r="D111" s="2" t="s">
        <v>9</v>
      </c>
      <c r="E111" s="2">
        <v>999</v>
      </c>
      <c r="F111" s="2">
        <v>31</v>
      </c>
      <c r="G111" s="8">
        <f t="shared" si="1"/>
        <v>30969</v>
      </c>
    </row>
    <row r="112" spans="1:7" ht="15.6" x14ac:dyDescent="0.3">
      <c r="A112" s="4">
        <v>44271</v>
      </c>
      <c r="B112" s="1" t="s">
        <v>15</v>
      </c>
      <c r="C112" s="1" t="s">
        <v>17</v>
      </c>
      <c r="D112" s="1" t="s">
        <v>18</v>
      </c>
      <c r="E112" s="1">
        <v>100</v>
      </c>
      <c r="F112" s="1">
        <v>11</v>
      </c>
      <c r="G112" s="7">
        <f t="shared" si="1"/>
        <v>1100</v>
      </c>
    </row>
    <row r="113" spans="1:7" ht="15.6" x14ac:dyDescent="0.3">
      <c r="A113" s="5">
        <v>44275</v>
      </c>
      <c r="B113" s="2" t="s">
        <v>12</v>
      </c>
      <c r="C113" s="2" t="s">
        <v>8</v>
      </c>
      <c r="D113" s="2" t="s">
        <v>18</v>
      </c>
      <c r="E113" s="2">
        <v>2550</v>
      </c>
      <c r="F113" s="2">
        <v>48</v>
      </c>
      <c r="G113" s="8">
        <f t="shared" si="1"/>
        <v>122400</v>
      </c>
    </row>
    <row r="114" spans="1:7" ht="15.6" x14ac:dyDescent="0.3">
      <c r="A114" s="4">
        <v>44279</v>
      </c>
      <c r="B114" s="1" t="s">
        <v>19</v>
      </c>
      <c r="C114" s="1" t="s">
        <v>20</v>
      </c>
      <c r="D114" s="1" t="s">
        <v>18</v>
      </c>
      <c r="E114" s="1">
        <v>33000</v>
      </c>
      <c r="F114" s="1">
        <v>26</v>
      </c>
      <c r="G114" s="7">
        <f t="shared" si="1"/>
        <v>858000</v>
      </c>
    </row>
    <row r="115" spans="1:7" ht="15.6" x14ac:dyDescent="0.3">
      <c r="A115" s="5">
        <v>44283</v>
      </c>
      <c r="B115" s="2" t="s">
        <v>10</v>
      </c>
      <c r="C115" s="2" t="s">
        <v>8</v>
      </c>
      <c r="D115" s="2" t="s">
        <v>14</v>
      </c>
      <c r="E115" s="2">
        <v>800</v>
      </c>
      <c r="F115" s="2">
        <v>39</v>
      </c>
      <c r="G115" s="8">
        <f t="shared" si="1"/>
        <v>31200</v>
      </c>
    </row>
    <row r="116" spans="1:7" ht="15.6" x14ac:dyDescent="0.3">
      <c r="A116" s="4">
        <v>44287</v>
      </c>
      <c r="B116" s="1" t="s">
        <v>23</v>
      </c>
      <c r="C116" s="1" t="s">
        <v>22</v>
      </c>
      <c r="D116" s="1" t="s">
        <v>14</v>
      </c>
      <c r="E116" s="1">
        <v>990</v>
      </c>
      <c r="F116" s="1">
        <v>9</v>
      </c>
      <c r="G116" s="7">
        <f t="shared" si="1"/>
        <v>8910</v>
      </c>
    </row>
    <row r="117" spans="1:7" ht="15.6" x14ac:dyDescent="0.3">
      <c r="A117" s="5">
        <v>44291</v>
      </c>
      <c r="B117" s="2" t="s">
        <v>7</v>
      </c>
      <c r="C117" s="2" t="s">
        <v>8</v>
      </c>
      <c r="D117" s="2" t="s">
        <v>9</v>
      </c>
      <c r="E117" s="2">
        <v>5599</v>
      </c>
      <c r="F117" s="2">
        <v>41</v>
      </c>
      <c r="G117" s="8">
        <f t="shared" si="1"/>
        <v>229559</v>
      </c>
    </row>
    <row r="118" spans="1:7" ht="15.6" x14ac:dyDescent="0.3">
      <c r="A118" s="4">
        <v>44295</v>
      </c>
      <c r="B118" s="1" t="s">
        <v>19</v>
      </c>
      <c r="C118" s="1" t="s">
        <v>20</v>
      </c>
      <c r="D118" s="1" t="s">
        <v>9</v>
      </c>
      <c r="E118" s="1">
        <v>499</v>
      </c>
      <c r="F118" s="1">
        <v>39</v>
      </c>
      <c r="G118" s="7">
        <f t="shared" si="1"/>
        <v>19461</v>
      </c>
    </row>
    <row r="119" spans="1:7" ht="15.6" x14ac:dyDescent="0.3">
      <c r="A119" s="5">
        <v>44299</v>
      </c>
      <c r="B119" s="2" t="s">
        <v>23</v>
      </c>
      <c r="C119" s="2" t="s">
        <v>22</v>
      </c>
      <c r="D119" s="2" t="s">
        <v>9</v>
      </c>
      <c r="E119" s="2">
        <v>1999</v>
      </c>
      <c r="F119" s="2">
        <v>4</v>
      </c>
      <c r="G119" s="8">
        <f t="shared" si="1"/>
        <v>7996</v>
      </c>
    </row>
    <row r="120" spans="1:7" ht="15.6" x14ac:dyDescent="0.3">
      <c r="A120" s="4">
        <v>44303</v>
      </c>
      <c r="B120" s="1" t="s">
        <v>12</v>
      </c>
      <c r="C120" s="1" t="s">
        <v>17</v>
      </c>
      <c r="D120" s="1" t="s">
        <v>9</v>
      </c>
      <c r="E120" s="1">
        <v>200</v>
      </c>
      <c r="F120" s="1">
        <v>8</v>
      </c>
      <c r="G120" s="7">
        <f t="shared" si="1"/>
        <v>1600</v>
      </c>
    </row>
    <row r="121" spans="1:7" ht="15.6" x14ac:dyDescent="0.3">
      <c r="A121" s="5">
        <v>44307</v>
      </c>
      <c r="B121" s="2" t="s">
        <v>23</v>
      </c>
      <c r="C121" s="2" t="s">
        <v>22</v>
      </c>
      <c r="D121" s="2" t="s">
        <v>14</v>
      </c>
      <c r="E121" s="2">
        <v>1499</v>
      </c>
      <c r="F121" s="2">
        <v>27</v>
      </c>
      <c r="G121" s="8">
        <f t="shared" si="1"/>
        <v>40473</v>
      </c>
    </row>
    <row r="122" spans="1:7" ht="15.6" x14ac:dyDescent="0.3">
      <c r="A122" s="4">
        <v>44311</v>
      </c>
      <c r="B122" s="1" t="s">
        <v>15</v>
      </c>
      <c r="C122" s="1" t="s">
        <v>17</v>
      </c>
      <c r="D122" s="1" t="s">
        <v>21</v>
      </c>
      <c r="E122" s="1">
        <v>120</v>
      </c>
      <c r="F122" s="1">
        <v>10</v>
      </c>
      <c r="G122" s="7">
        <f t="shared" si="1"/>
        <v>1200</v>
      </c>
    </row>
    <row r="123" spans="1:7" ht="15.6" x14ac:dyDescent="0.3">
      <c r="A123" s="5">
        <v>44315</v>
      </c>
      <c r="B123" s="2" t="s">
        <v>10</v>
      </c>
      <c r="C123" s="2" t="s">
        <v>20</v>
      </c>
      <c r="D123" s="2" t="s">
        <v>21</v>
      </c>
      <c r="E123" s="2">
        <v>11999</v>
      </c>
      <c r="F123" s="2">
        <v>17</v>
      </c>
      <c r="G123" s="8">
        <f t="shared" si="1"/>
        <v>203983</v>
      </c>
    </row>
    <row r="124" spans="1:7" ht="15.6" x14ac:dyDescent="0.3">
      <c r="A124" s="4">
        <v>44319</v>
      </c>
      <c r="B124" s="1" t="s">
        <v>10</v>
      </c>
      <c r="C124" s="1" t="s">
        <v>20</v>
      </c>
      <c r="D124" s="1" t="s">
        <v>11</v>
      </c>
      <c r="E124" s="1">
        <v>999</v>
      </c>
      <c r="F124" s="1">
        <v>27</v>
      </c>
      <c r="G124" s="7">
        <f t="shared" si="1"/>
        <v>26973</v>
      </c>
    </row>
    <row r="125" spans="1:7" ht="15.6" x14ac:dyDescent="0.3">
      <c r="A125" s="5">
        <v>44323</v>
      </c>
      <c r="B125" s="2" t="s">
        <v>12</v>
      </c>
      <c r="C125" s="2" t="s">
        <v>20</v>
      </c>
      <c r="D125" s="2" t="s">
        <v>14</v>
      </c>
      <c r="E125" s="2">
        <v>2999</v>
      </c>
      <c r="F125" s="2">
        <v>43</v>
      </c>
      <c r="G125" s="8">
        <f t="shared" si="1"/>
        <v>128957</v>
      </c>
    </row>
    <row r="126" spans="1:7" ht="15.6" x14ac:dyDescent="0.3">
      <c r="A126" s="4">
        <v>44327</v>
      </c>
      <c r="B126" s="1" t="s">
        <v>15</v>
      </c>
      <c r="C126" s="1" t="s">
        <v>16</v>
      </c>
      <c r="D126" s="1" t="s">
        <v>11</v>
      </c>
      <c r="E126" s="1">
        <v>47800</v>
      </c>
      <c r="F126" s="1">
        <v>9</v>
      </c>
      <c r="G126" s="7">
        <f t="shared" si="1"/>
        <v>430200</v>
      </c>
    </row>
    <row r="127" spans="1:7" ht="15.6" x14ac:dyDescent="0.3">
      <c r="A127" s="5">
        <v>44331</v>
      </c>
      <c r="B127" s="2" t="s">
        <v>19</v>
      </c>
      <c r="C127" s="2" t="s">
        <v>16</v>
      </c>
      <c r="D127" s="2" t="s">
        <v>9</v>
      </c>
      <c r="E127" s="2">
        <v>22000</v>
      </c>
      <c r="F127" s="2">
        <v>42</v>
      </c>
      <c r="G127" s="8">
        <f t="shared" si="1"/>
        <v>924000</v>
      </c>
    </row>
    <row r="128" spans="1:7" ht="15.6" x14ac:dyDescent="0.3">
      <c r="A128" s="4">
        <v>44335</v>
      </c>
      <c r="B128" s="1" t="s">
        <v>19</v>
      </c>
      <c r="C128" s="1" t="s">
        <v>13</v>
      </c>
      <c r="D128" s="1" t="s">
        <v>11</v>
      </c>
      <c r="E128" s="1">
        <v>1250</v>
      </c>
      <c r="F128" s="1">
        <v>6</v>
      </c>
      <c r="G128" s="7">
        <f t="shared" si="1"/>
        <v>7500</v>
      </c>
    </row>
    <row r="129" spans="1:7" ht="15.6" x14ac:dyDescent="0.3">
      <c r="A129" s="5">
        <v>44339</v>
      </c>
      <c r="B129" s="2" t="s">
        <v>15</v>
      </c>
      <c r="C129" s="2" t="s">
        <v>17</v>
      </c>
      <c r="D129" s="2" t="s">
        <v>14</v>
      </c>
      <c r="E129" s="2">
        <v>999</v>
      </c>
      <c r="F129" s="2">
        <v>28</v>
      </c>
      <c r="G129" s="8">
        <f t="shared" si="1"/>
        <v>27972</v>
      </c>
    </row>
    <row r="130" spans="1:7" ht="15.6" x14ac:dyDescent="0.3">
      <c r="A130" s="4">
        <v>44343</v>
      </c>
      <c r="B130" s="1" t="s">
        <v>19</v>
      </c>
      <c r="C130" s="1" t="s">
        <v>13</v>
      </c>
      <c r="D130" s="1" t="s">
        <v>21</v>
      </c>
      <c r="E130" s="1">
        <v>1450</v>
      </c>
      <c r="F130" s="1">
        <v>13</v>
      </c>
      <c r="G130" s="7">
        <f t="shared" si="1"/>
        <v>18850</v>
      </c>
    </row>
    <row r="131" spans="1:7" ht="15.6" x14ac:dyDescent="0.3">
      <c r="A131" s="5">
        <v>44347</v>
      </c>
      <c r="B131" s="2" t="s">
        <v>19</v>
      </c>
      <c r="C131" s="2" t="s">
        <v>13</v>
      </c>
      <c r="D131" s="2" t="s">
        <v>21</v>
      </c>
      <c r="E131" s="2">
        <v>23999</v>
      </c>
      <c r="F131" s="2">
        <v>8</v>
      </c>
      <c r="G131" s="8">
        <f t="shared" ref="G131:G194" si="2">E131*F131</f>
        <v>191992</v>
      </c>
    </row>
    <row r="132" spans="1:7" ht="15.6" x14ac:dyDescent="0.3">
      <c r="A132" s="4">
        <v>44351</v>
      </c>
      <c r="B132" s="1" t="s">
        <v>10</v>
      </c>
      <c r="C132" s="1" t="s">
        <v>16</v>
      </c>
      <c r="D132" s="1" t="s">
        <v>21</v>
      </c>
      <c r="E132" s="1">
        <v>92000</v>
      </c>
      <c r="F132" s="1">
        <v>7</v>
      </c>
      <c r="G132" s="7">
        <f t="shared" si="2"/>
        <v>644000</v>
      </c>
    </row>
    <row r="133" spans="1:7" ht="15.6" x14ac:dyDescent="0.3">
      <c r="A133" s="5">
        <v>44355</v>
      </c>
      <c r="B133" s="2" t="s">
        <v>23</v>
      </c>
      <c r="C133" s="2" t="s">
        <v>22</v>
      </c>
      <c r="D133" s="2" t="s">
        <v>14</v>
      </c>
      <c r="E133" s="2">
        <v>699</v>
      </c>
      <c r="F133" s="2">
        <v>45</v>
      </c>
      <c r="G133" s="8">
        <f t="shared" si="2"/>
        <v>31455</v>
      </c>
    </row>
    <row r="134" spans="1:7" ht="15.6" x14ac:dyDescent="0.3">
      <c r="A134" s="4">
        <v>44359</v>
      </c>
      <c r="B134" s="1" t="s">
        <v>7</v>
      </c>
      <c r="C134" s="1" t="s">
        <v>8</v>
      </c>
      <c r="D134" s="1" t="s">
        <v>9</v>
      </c>
      <c r="E134" s="1">
        <v>2550</v>
      </c>
      <c r="F134" s="1">
        <v>22</v>
      </c>
      <c r="G134" s="7">
        <f t="shared" si="2"/>
        <v>56100</v>
      </c>
    </row>
    <row r="135" spans="1:7" ht="15.6" x14ac:dyDescent="0.3">
      <c r="A135" s="5">
        <v>44363</v>
      </c>
      <c r="B135" s="2" t="s">
        <v>12</v>
      </c>
      <c r="C135" s="2" t="s">
        <v>20</v>
      </c>
      <c r="D135" s="2" t="s">
        <v>21</v>
      </c>
      <c r="E135" s="2">
        <v>22000</v>
      </c>
      <c r="F135" s="2">
        <v>4</v>
      </c>
      <c r="G135" s="8">
        <f t="shared" si="2"/>
        <v>88000</v>
      </c>
    </row>
    <row r="136" spans="1:7" ht="15.6" x14ac:dyDescent="0.3">
      <c r="A136" s="4">
        <v>44367</v>
      </c>
      <c r="B136" s="1" t="s">
        <v>19</v>
      </c>
      <c r="C136" s="1" t="s">
        <v>20</v>
      </c>
      <c r="D136" s="1" t="s">
        <v>9</v>
      </c>
      <c r="E136" s="1">
        <v>22000</v>
      </c>
      <c r="F136" s="1">
        <v>10</v>
      </c>
      <c r="G136" s="7">
        <f t="shared" si="2"/>
        <v>220000</v>
      </c>
    </row>
    <row r="137" spans="1:7" ht="15.6" x14ac:dyDescent="0.3">
      <c r="A137" s="5">
        <v>44371</v>
      </c>
      <c r="B137" s="2" t="s">
        <v>10</v>
      </c>
      <c r="C137" s="2" t="s">
        <v>22</v>
      </c>
      <c r="D137" s="2" t="s">
        <v>14</v>
      </c>
      <c r="E137" s="2">
        <v>1499</v>
      </c>
      <c r="F137" s="2">
        <v>16</v>
      </c>
      <c r="G137" s="8">
        <f t="shared" si="2"/>
        <v>23984</v>
      </c>
    </row>
    <row r="138" spans="1:7" ht="15.6" x14ac:dyDescent="0.3">
      <c r="A138" s="4">
        <v>44375</v>
      </c>
      <c r="B138" s="1" t="s">
        <v>15</v>
      </c>
      <c r="C138" s="1" t="s">
        <v>17</v>
      </c>
      <c r="D138" s="1" t="s">
        <v>21</v>
      </c>
      <c r="E138" s="1">
        <v>120</v>
      </c>
      <c r="F138" s="1">
        <v>22</v>
      </c>
      <c r="G138" s="7">
        <f t="shared" si="2"/>
        <v>2640</v>
      </c>
    </row>
    <row r="139" spans="1:7" ht="15.6" x14ac:dyDescent="0.3">
      <c r="A139" s="5">
        <v>44379</v>
      </c>
      <c r="B139" s="2" t="s">
        <v>7</v>
      </c>
      <c r="C139" s="2" t="s">
        <v>8</v>
      </c>
      <c r="D139" s="2" t="s">
        <v>11</v>
      </c>
      <c r="E139" s="2">
        <v>1450</v>
      </c>
      <c r="F139" s="2">
        <v>20</v>
      </c>
      <c r="G139" s="8">
        <f t="shared" si="2"/>
        <v>29000</v>
      </c>
    </row>
    <row r="140" spans="1:7" ht="15.6" x14ac:dyDescent="0.3">
      <c r="A140" s="4">
        <v>44383</v>
      </c>
      <c r="B140" s="1" t="s">
        <v>23</v>
      </c>
      <c r="C140" s="1" t="s">
        <v>22</v>
      </c>
      <c r="D140" s="1" t="s">
        <v>14</v>
      </c>
      <c r="E140" s="1">
        <v>1999</v>
      </c>
      <c r="F140" s="1">
        <v>23</v>
      </c>
      <c r="G140" s="7">
        <f t="shared" si="2"/>
        <v>45977</v>
      </c>
    </row>
    <row r="141" spans="1:7" ht="15.6" x14ac:dyDescent="0.3">
      <c r="A141" s="5">
        <v>44387</v>
      </c>
      <c r="B141" s="2" t="s">
        <v>10</v>
      </c>
      <c r="C141" s="2" t="s">
        <v>8</v>
      </c>
      <c r="D141" s="2" t="s">
        <v>24</v>
      </c>
      <c r="E141" s="2">
        <v>800</v>
      </c>
      <c r="F141" s="2">
        <v>43</v>
      </c>
      <c r="G141" s="8">
        <f t="shared" si="2"/>
        <v>34400</v>
      </c>
    </row>
    <row r="142" spans="1:7" ht="15.6" x14ac:dyDescent="0.3">
      <c r="A142" s="4">
        <v>44391</v>
      </c>
      <c r="B142" s="1" t="s">
        <v>15</v>
      </c>
      <c r="C142" s="1" t="s">
        <v>17</v>
      </c>
      <c r="D142" s="1" t="s">
        <v>21</v>
      </c>
      <c r="E142" s="1">
        <v>100</v>
      </c>
      <c r="F142" s="1">
        <v>41</v>
      </c>
      <c r="G142" s="7">
        <f t="shared" si="2"/>
        <v>4100</v>
      </c>
    </row>
    <row r="143" spans="1:7" ht="15.6" x14ac:dyDescent="0.3">
      <c r="A143" s="5">
        <v>44395</v>
      </c>
      <c r="B143" s="2" t="s">
        <v>7</v>
      </c>
      <c r="C143" s="2" t="s">
        <v>16</v>
      </c>
      <c r="D143" s="2" t="s">
        <v>21</v>
      </c>
      <c r="E143" s="2">
        <v>13999</v>
      </c>
      <c r="F143" s="2">
        <v>37</v>
      </c>
      <c r="G143" s="8">
        <f t="shared" si="2"/>
        <v>517963</v>
      </c>
    </row>
    <row r="144" spans="1:7" ht="15.6" x14ac:dyDescent="0.3">
      <c r="A144" s="4">
        <v>44399</v>
      </c>
      <c r="B144" s="1" t="s">
        <v>12</v>
      </c>
      <c r="C144" s="1" t="s">
        <v>20</v>
      </c>
      <c r="D144" s="1" t="s">
        <v>18</v>
      </c>
      <c r="E144" s="1">
        <v>22000</v>
      </c>
      <c r="F144" s="1">
        <v>45</v>
      </c>
      <c r="G144" s="7">
        <f t="shared" si="2"/>
        <v>990000</v>
      </c>
    </row>
    <row r="145" spans="1:7" ht="15.6" x14ac:dyDescent="0.3">
      <c r="A145" s="5">
        <v>44403</v>
      </c>
      <c r="B145" s="2" t="s">
        <v>19</v>
      </c>
      <c r="C145" s="2" t="s">
        <v>20</v>
      </c>
      <c r="D145" s="2" t="s">
        <v>24</v>
      </c>
      <c r="E145" s="2">
        <v>89999</v>
      </c>
      <c r="F145" s="2">
        <v>15</v>
      </c>
      <c r="G145" s="8">
        <f t="shared" si="2"/>
        <v>1349985</v>
      </c>
    </row>
    <row r="146" spans="1:7" ht="15.6" x14ac:dyDescent="0.3">
      <c r="A146" s="4">
        <v>44407</v>
      </c>
      <c r="B146" s="1" t="s">
        <v>7</v>
      </c>
      <c r="C146" s="1" t="s">
        <v>8</v>
      </c>
      <c r="D146" s="1" t="s">
        <v>18</v>
      </c>
      <c r="E146" s="1">
        <v>13999</v>
      </c>
      <c r="F146" s="1">
        <v>22</v>
      </c>
      <c r="G146" s="7">
        <f t="shared" si="2"/>
        <v>307978</v>
      </c>
    </row>
    <row r="147" spans="1:7" ht="15.6" x14ac:dyDescent="0.3">
      <c r="A147" s="5">
        <v>44411</v>
      </c>
      <c r="B147" s="2" t="s">
        <v>10</v>
      </c>
      <c r="C147" s="2" t="s">
        <v>22</v>
      </c>
      <c r="D147" s="2" t="s">
        <v>14</v>
      </c>
      <c r="E147" s="2">
        <v>2900</v>
      </c>
      <c r="F147" s="2">
        <v>20</v>
      </c>
      <c r="G147" s="8">
        <f t="shared" si="2"/>
        <v>58000</v>
      </c>
    </row>
    <row r="148" spans="1:7" ht="15.6" x14ac:dyDescent="0.3">
      <c r="A148" s="4">
        <v>44415</v>
      </c>
      <c r="B148" s="1" t="s">
        <v>19</v>
      </c>
      <c r="C148" s="1" t="s">
        <v>20</v>
      </c>
      <c r="D148" s="1" t="s">
        <v>18</v>
      </c>
      <c r="E148" s="1">
        <v>33000</v>
      </c>
      <c r="F148" s="1">
        <v>16</v>
      </c>
      <c r="G148" s="7">
        <f t="shared" si="2"/>
        <v>528000</v>
      </c>
    </row>
    <row r="149" spans="1:7" ht="15.6" x14ac:dyDescent="0.3">
      <c r="A149" s="5">
        <v>44419</v>
      </c>
      <c r="B149" s="2" t="s">
        <v>10</v>
      </c>
      <c r="C149" s="2" t="s">
        <v>20</v>
      </c>
      <c r="D149" s="2" t="s">
        <v>11</v>
      </c>
      <c r="E149" s="2">
        <v>22000</v>
      </c>
      <c r="F149" s="2">
        <v>17</v>
      </c>
      <c r="G149" s="8">
        <f t="shared" si="2"/>
        <v>374000</v>
      </c>
    </row>
    <row r="150" spans="1:7" ht="15.6" x14ac:dyDescent="0.3">
      <c r="A150" s="4">
        <v>44423</v>
      </c>
      <c r="B150" s="1" t="s">
        <v>10</v>
      </c>
      <c r="C150" s="1" t="s">
        <v>22</v>
      </c>
      <c r="D150" s="1" t="s">
        <v>11</v>
      </c>
      <c r="E150" s="1">
        <v>45000</v>
      </c>
      <c r="F150" s="1">
        <v>50</v>
      </c>
      <c r="G150" s="7">
        <f t="shared" si="2"/>
        <v>2250000</v>
      </c>
    </row>
    <row r="151" spans="1:7" ht="15.6" x14ac:dyDescent="0.3">
      <c r="A151" s="5">
        <v>44427</v>
      </c>
      <c r="B151" s="2" t="s">
        <v>19</v>
      </c>
      <c r="C151" s="2" t="s">
        <v>16</v>
      </c>
      <c r="D151" s="2" t="s">
        <v>14</v>
      </c>
      <c r="E151" s="2">
        <v>499</v>
      </c>
      <c r="F151" s="2">
        <v>4</v>
      </c>
      <c r="G151" s="8">
        <f t="shared" si="2"/>
        <v>1996</v>
      </c>
    </row>
    <row r="152" spans="1:7" ht="15.6" x14ac:dyDescent="0.3">
      <c r="A152" s="4">
        <v>44431</v>
      </c>
      <c r="B152" s="1" t="s">
        <v>23</v>
      </c>
      <c r="C152" s="1" t="s">
        <v>22</v>
      </c>
      <c r="D152" s="1" t="s">
        <v>18</v>
      </c>
      <c r="E152" s="1">
        <v>590</v>
      </c>
      <c r="F152" s="1">
        <v>43</v>
      </c>
      <c r="G152" s="7">
        <f t="shared" si="2"/>
        <v>25370</v>
      </c>
    </row>
    <row r="153" spans="1:7" ht="15.6" x14ac:dyDescent="0.3">
      <c r="A153" s="5">
        <v>44435</v>
      </c>
      <c r="B153" s="2" t="s">
        <v>12</v>
      </c>
      <c r="C153" s="2" t="s">
        <v>22</v>
      </c>
      <c r="D153" s="2" t="s">
        <v>11</v>
      </c>
      <c r="E153" s="2">
        <v>590</v>
      </c>
      <c r="F153" s="2">
        <v>42</v>
      </c>
      <c r="G153" s="8">
        <f t="shared" si="2"/>
        <v>24780</v>
      </c>
    </row>
    <row r="154" spans="1:7" ht="15.6" x14ac:dyDescent="0.3">
      <c r="A154" s="4">
        <v>44439</v>
      </c>
      <c r="B154" s="1" t="s">
        <v>15</v>
      </c>
      <c r="C154" s="1" t="s">
        <v>17</v>
      </c>
      <c r="D154" s="1" t="s">
        <v>9</v>
      </c>
      <c r="E154" s="1">
        <v>12000</v>
      </c>
      <c r="F154" s="1">
        <v>9</v>
      </c>
      <c r="G154" s="7">
        <f t="shared" si="2"/>
        <v>108000</v>
      </c>
    </row>
    <row r="155" spans="1:7" ht="15.6" x14ac:dyDescent="0.3">
      <c r="A155" s="5">
        <v>44443</v>
      </c>
      <c r="B155" s="2" t="s">
        <v>19</v>
      </c>
      <c r="C155" s="2" t="s">
        <v>20</v>
      </c>
      <c r="D155" s="2" t="s">
        <v>24</v>
      </c>
      <c r="E155" s="2">
        <v>52000</v>
      </c>
      <c r="F155" s="2">
        <v>40</v>
      </c>
      <c r="G155" s="8">
        <f t="shared" si="2"/>
        <v>2080000</v>
      </c>
    </row>
    <row r="156" spans="1:7" ht="15.6" x14ac:dyDescent="0.3">
      <c r="A156" s="4">
        <v>44447</v>
      </c>
      <c r="B156" s="1" t="s">
        <v>19</v>
      </c>
      <c r="C156" s="1" t="s">
        <v>13</v>
      </c>
      <c r="D156" s="1" t="s">
        <v>18</v>
      </c>
      <c r="E156" s="1">
        <v>7999</v>
      </c>
      <c r="F156" s="1">
        <v>14</v>
      </c>
      <c r="G156" s="7">
        <f t="shared" si="2"/>
        <v>111986</v>
      </c>
    </row>
    <row r="157" spans="1:7" ht="15.6" x14ac:dyDescent="0.3">
      <c r="A157" s="5">
        <v>44451</v>
      </c>
      <c r="B157" s="2" t="s">
        <v>10</v>
      </c>
      <c r="C157" s="2" t="s">
        <v>13</v>
      </c>
      <c r="D157" s="2" t="s">
        <v>21</v>
      </c>
      <c r="E157" s="2">
        <v>5000</v>
      </c>
      <c r="F157" s="2">
        <v>9</v>
      </c>
      <c r="G157" s="8">
        <f t="shared" si="2"/>
        <v>45000</v>
      </c>
    </row>
    <row r="158" spans="1:7" ht="15.6" x14ac:dyDescent="0.3">
      <c r="A158" s="4">
        <v>44455</v>
      </c>
      <c r="B158" s="1" t="s">
        <v>19</v>
      </c>
      <c r="C158" s="1" t="s">
        <v>20</v>
      </c>
      <c r="D158" s="1" t="s">
        <v>18</v>
      </c>
      <c r="E158" s="1">
        <v>79999</v>
      </c>
      <c r="F158" s="1">
        <v>10</v>
      </c>
      <c r="G158" s="7">
        <f t="shared" si="2"/>
        <v>799990</v>
      </c>
    </row>
    <row r="159" spans="1:7" ht="15.6" x14ac:dyDescent="0.3">
      <c r="A159" s="5">
        <v>44459</v>
      </c>
      <c r="B159" s="2" t="s">
        <v>23</v>
      </c>
      <c r="C159" s="2" t="s">
        <v>16</v>
      </c>
      <c r="D159" s="2" t="s">
        <v>14</v>
      </c>
      <c r="E159" s="2">
        <v>1999</v>
      </c>
      <c r="F159" s="2">
        <v>37</v>
      </c>
      <c r="G159" s="8">
        <f t="shared" si="2"/>
        <v>73963</v>
      </c>
    </row>
    <row r="160" spans="1:7" ht="15.6" x14ac:dyDescent="0.3">
      <c r="A160" s="4">
        <v>44463</v>
      </c>
      <c r="B160" s="1" t="s">
        <v>19</v>
      </c>
      <c r="C160" s="1" t="s">
        <v>20</v>
      </c>
      <c r="D160" s="1" t="s">
        <v>18</v>
      </c>
      <c r="E160" s="1">
        <v>89999</v>
      </c>
      <c r="F160" s="1">
        <v>29</v>
      </c>
      <c r="G160" s="7">
        <f t="shared" si="2"/>
        <v>2609971</v>
      </c>
    </row>
    <row r="161" spans="1:7" ht="15.6" x14ac:dyDescent="0.3">
      <c r="A161" s="5">
        <v>44467</v>
      </c>
      <c r="B161" s="2" t="s">
        <v>12</v>
      </c>
      <c r="C161" s="2" t="s">
        <v>20</v>
      </c>
      <c r="D161" s="2" t="s">
        <v>9</v>
      </c>
      <c r="E161" s="2">
        <v>799</v>
      </c>
      <c r="F161" s="2">
        <v>44</v>
      </c>
      <c r="G161" s="8">
        <f t="shared" si="2"/>
        <v>35156</v>
      </c>
    </row>
    <row r="162" spans="1:7" ht="15.6" x14ac:dyDescent="0.3">
      <c r="A162" s="4">
        <v>44471</v>
      </c>
      <c r="B162" s="1" t="s">
        <v>19</v>
      </c>
      <c r="C162" s="1" t="s">
        <v>20</v>
      </c>
      <c r="D162" s="1" t="s">
        <v>11</v>
      </c>
      <c r="E162" s="1">
        <v>3990</v>
      </c>
      <c r="F162" s="1">
        <v>31</v>
      </c>
      <c r="G162" s="7">
        <f t="shared" si="2"/>
        <v>123690</v>
      </c>
    </row>
    <row r="163" spans="1:7" ht="15.6" x14ac:dyDescent="0.3">
      <c r="A163" s="5">
        <v>44475</v>
      </c>
      <c r="B163" s="2" t="s">
        <v>10</v>
      </c>
      <c r="C163" s="2" t="s">
        <v>20</v>
      </c>
      <c r="D163" s="2" t="s">
        <v>14</v>
      </c>
      <c r="E163" s="2">
        <v>52000</v>
      </c>
      <c r="F163" s="2">
        <v>29</v>
      </c>
      <c r="G163" s="8">
        <f t="shared" si="2"/>
        <v>1508000</v>
      </c>
    </row>
    <row r="164" spans="1:7" ht="15.6" x14ac:dyDescent="0.3">
      <c r="A164" s="4">
        <v>44479</v>
      </c>
      <c r="B164" s="1" t="s">
        <v>10</v>
      </c>
      <c r="C164" s="1" t="s">
        <v>8</v>
      </c>
      <c r="D164" s="1" t="s">
        <v>18</v>
      </c>
      <c r="E164" s="1">
        <v>13999</v>
      </c>
      <c r="F164" s="1">
        <v>34</v>
      </c>
      <c r="G164" s="7">
        <f t="shared" si="2"/>
        <v>475966</v>
      </c>
    </row>
    <row r="165" spans="1:7" ht="15.6" x14ac:dyDescent="0.3">
      <c r="A165" s="5">
        <v>44483</v>
      </c>
      <c r="B165" s="2" t="s">
        <v>15</v>
      </c>
      <c r="C165" s="2" t="s">
        <v>17</v>
      </c>
      <c r="D165" s="2" t="s">
        <v>14</v>
      </c>
      <c r="E165" s="2">
        <v>14500</v>
      </c>
      <c r="F165" s="2">
        <v>29</v>
      </c>
      <c r="G165" s="8">
        <f t="shared" si="2"/>
        <v>420500</v>
      </c>
    </row>
    <row r="166" spans="1:7" ht="15.6" x14ac:dyDescent="0.3">
      <c r="A166" s="4">
        <v>44487</v>
      </c>
      <c r="B166" s="1" t="s">
        <v>19</v>
      </c>
      <c r="C166" s="1" t="s">
        <v>13</v>
      </c>
      <c r="D166" s="1" t="s">
        <v>24</v>
      </c>
      <c r="E166" s="1">
        <v>23999</v>
      </c>
      <c r="F166" s="1">
        <v>25</v>
      </c>
      <c r="G166" s="7">
        <f t="shared" si="2"/>
        <v>599975</v>
      </c>
    </row>
    <row r="167" spans="1:7" ht="15.6" x14ac:dyDescent="0.3">
      <c r="A167" s="5">
        <v>44491</v>
      </c>
      <c r="B167" s="2" t="s">
        <v>19</v>
      </c>
      <c r="C167" s="2" t="s">
        <v>13</v>
      </c>
      <c r="D167" s="2" t="s">
        <v>18</v>
      </c>
      <c r="E167" s="2">
        <v>1250</v>
      </c>
      <c r="F167" s="2">
        <v>31</v>
      </c>
      <c r="G167" s="8">
        <f t="shared" si="2"/>
        <v>38750</v>
      </c>
    </row>
    <row r="168" spans="1:7" ht="15.6" x14ac:dyDescent="0.3">
      <c r="A168" s="4">
        <v>44495</v>
      </c>
      <c r="B168" s="1" t="s">
        <v>23</v>
      </c>
      <c r="C168" s="1" t="s">
        <v>16</v>
      </c>
      <c r="D168" s="1" t="s">
        <v>18</v>
      </c>
      <c r="E168" s="1">
        <v>35600</v>
      </c>
      <c r="F168" s="1">
        <v>16</v>
      </c>
      <c r="G168" s="7">
        <f t="shared" si="2"/>
        <v>569600</v>
      </c>
    </row>
    <row r="169" spans="1:7" ht="15.6" x14ac:dyDescent="0.3">
      <c r="A169" s="5">
        <v>44499</v>
      </c>
      <c r="B169" s="2" t="s">
        <v>15</v>
      </c>
      <c r="C169" s="2" t="s">
        <v>17</v>
      </c>
      <c r="D169" s="2" t="s">
        <v>18</v>
      </c>
      <c r="E169" s="2">
        <v>65000</v>
      </c>
      <c r="F169" s="2">
        <v>48</v>
      </c>
      <c r="G169" s="8">
        <f t="shared" si="2"/>
        <v>3120000</v>
      </c>
    </row>
    <row r="170" spans="1:7" ht="15.6" x14ac:dyDescent="0.3">
      <c r="A170" s="4">
        <v>44503</v>
      </c>
      <c r="B170" s="1" t="s">
        <v>12</v>
      </c>
      <c r="C170" s="1" t="s">
        <v>17</v>
      </c>
      <c r="D170" s="1" t="s">
        <v>24</v>
      </c>
      <c r="E170" s="1">
        <v>12000</v>
      </c>
      <c r="F170" s="1">
        <v>22</v>
      </c>
      <c r="G170" s="7">
        <f t="shared" si="2"/>
        <v>264000</v>
      </c>
    </row>
    <row r="171" spans="1:7" ht="15.6" x14ac:dyDescent="0.3">
      <c r="A171" s="5">
        <v>44507</v>
      </c>
      <c r="B171" s="2" t="s">
        <v>23</v>
      </c>
      <c r="C171" s="2" t="s">
        <v>22</v>
      </c>
      <c r="D171" s="2" t="s">
        <v>18</v>
      </c>
      <c r="E171" s="2">
        <v>699</v>
      </c>
      <c r="F171" s="2">
        <v>6</v>
      </c>
      <c r="G171" s="8">
        <f t="shared" si="2"/>
        <v>4194</v>
      </c>
    </row>
    <row r="172" spans="1:7" ht="15.6" x14ac:dyDescent="0.3">
      <c r="A172" s="4">
        <v>44511</v>
      </c>
      <c r="B172" s="1" t="s">
        <v>23</v>
      </c>
      <c r="C172" s="1" t="s">
        <v>16</v>
      </c>
      <c r="D172" s="1" t="s">
        <v>14</v>
      </c>
      <c r="E172" s="1">
        <v>990</v>
      </c>
      <c r="F172" s="1">
        <v>12</v>
      </c>
      <c r="G172" s="7">
        <f t="shared" si="2"/>
        <v>11880</v>
      </c>
    </row>
    <row r="173" spans="1:7" ht="15.6" x14ac:dyDescent="0.3">
      <c r="A173" s="5">
        <v>44515</v>
      </c>
      <c r="B173" s="2" t="s">
        <v>23</v>
      </c>
      <c r="C173" s="2" t="s">
        <v>22</v>
      </c>
      <c r="D173" s="2" t="s">
        <v>9</v>
      </c>
      <c r="E173" s="2">
        <v>450</v>
      </c>
      <c r="F173" s="2">
        <v>44</v>
      </c>
      <c r="G173" s="8">
        <f t="shared" si="2"/>
        <v>19800</v>
      </c>
    </row>
    <row r="174" spans="1:7" ht="15.6" x14ac:dyDescent="0.3">
      <c r="A174" s="4">
        <v>44519</v>
      </c>
      <c r="B174" s="1" t="s">
        <v>23</v>
      </c>
      <c r="C174" s="1" t="s">
        <v>16</v>
      </c>
      <c r="D174" s="1" t="s">
        <v>9</v>
      </c>
      <c r="E174" s="1">
        <v>1499</v>
      </c>
      <c r="F174" s="1">
        <v>15</v>
      </c>
      <c r="G174" s="7">
        <f t="shared" si="2"/>
        <v>22485</v>
      </c>
    </row>
    <row r="175" spans="1:7" ht="15.6" x14ac:dyDescent="0.3">
      <c r="A175" s="5">
        <v>44523</v>
      </c>
      <c r="B175" s="2" t="s">
        <v>7</v>
      </c>
      <c r="C175" s="2" t="s">
        <v>8</v>
      </c>
      <c r="D175" s="2" t="s">
        <v>21</v>
      </c>
      <c r="E175" s="2">
        <v>499</v>
      </c>
      <c r="F175" s="2">
        <v>26</v>
      </c>
      <c r="G175" s="8">
        <f t="shared" si="2"/>
        <v>12974</v>
      </c>
    </row>
    <row r="176" spans="1:7" ht="15.6" x14ac:dyDescent="0.3">
      <c r="A176" s="4">
        <v>44527</v>
      </c>
      <c r="B176" s="1" t="s">
        <v>19</v>
      </c>
      <c r="C176" s="1" t="s">
        <v>13</v>
      </c>
      <c r="D176" s="1" t="s">
        <v>21</v>
      </c>
      <c r="E176" s="1">
        <v>960</v>
      </c>
      <c r="F176" s="1">
        <v>16</v>
      </c>
      <c r="G176" s="7">
        <f t="shared" si="2"/>
        <v>15360</v>
      </c>
    </row>
    <row r="177" spans="1:7" ht="15.6" x14ac:dyDescent="0.3">
      <c r="A177" s="5">
        <v>44531</v>
      </c>
      <c r="B177" s="2" t="s">
        <v>12</v>
      </c>
      <c r="C177" s="2" t="s">
        <v>16</v>
      </c>
      <c r="D177" s="2" t="s">
        <v>18</v>
      </c>
      <c r="E177" s="2">
        <v>5599</v>
      </c>
      <c r="F177" s="2">
        <v>35</v>
      </c>
      <c r="G177" s="8">
        <f t="shared" si="2"/>
        <v>195965</v>
      </c>
    </row>
    <row r="178" spans="1:7" ht="15.6" x14ac:dyDescent="0.3">
      <c r="A178" s="4">
        <v>44535</v>
      </c>
      <c r="B178" s="1" t="s">
        <v>15</v>
      </c>
      <c r="C178" s="1" t="s">
        <v>17</v>
      </c>
      <c r="D178" s="1" t="s">
        <v>9</v>
      </c>
      <c r="E178" s="1">
        <v>89</v>
      </c>
      <c r="F178" s="1">
        <v>36</v>
      </c>
      <c r="G178" s="7">
        <f t="shared" si="2"/>
        <v>3204</v>
      </c>
    </row>
    <row r="179" spans="1:7" ht="15.6" x14ac:dyDescent="0.3">
      <c r="A179" s="5">
        <v>44539</v>
      </c>
      <c r="B179" s="2" t="s">
        <v>7</v>
      </c>
      <c r="C179" s="2" t="s">
        <v>8</v>
      </c>
      <c r="D179" s="2" t="s">
        <v>14</v>
      </c>
      <c r="E179" s="2">
        <v>2550</v>
      </c>
      <c r="F179" s="2">
        <v>20</v>
      </c>
      <c r="G179" s="8">
        <f t="shared" si="2"/>
        <v>51000</v>
      </c>
    </row>
    <row r="180" spans="1:7" ht="15.6" x14ac:dyDescent="0.3">
      <c r="A180" s="4">
        <v>44543</v>
      </c>
      <c r="B180" s="1" t="s">
        <v>7</v>
      </c>
      <c r="C180" s="1" t="s">
        <v>8</v>
      </c>
      <c r="D180" s="1" t="s">
        <v>9</v>
      </c>
      <c r="E180" s="1">
        <v>1450</v>
      </c>
      <c r="F180" s="1">
        <v>47</v>
      </c>
      <c r="G180" s="7">
        <f t="shared" si="2"/>
        <v>68150</v>
      </c>
    </row>
    <row r="181" spans="1:7" ht="15.6" x14ac:dyDescent="0.3">
      <c r="A181" s="5">
        <v>44547</v>
      </c>
      <c r="B181" s="2" t="s">
        <v>23</v>
      </c>
      <c r="C181" s="2" t="s">
        <v>22</v>
      </c>
      <c r="D181" s="2" t="s">
        <v>18</v>
      </c>
      <c r="E181" s="2">
        <v>2900</v>
      </c>
      <c r="F181" s="2">
        <v>6</v>
      </c>
      <c r="G181" s="8">
        <f t="shared" si="2"/>
        <v>17400</v>
      </c>
    </row>
    <row r="182" spans="1:7" ht="15.6" x14ac:dyDescent="0.3">
      <c r="A182" s="4">
        <v>44551</v>
      </c>
      <c r="B182" s="1" t="s">
        <v>15</v>
      </c>
      <c r="C182" s="1" t="s">
        <v>17</v>
      </c>
      <c r="D182" s="1" t="s">
        <v>21</v>
      </c>
      <c r="E182" s="1">
        <v>120</v>
      </c>
      <c r="F182" s="1">
        <v>6</v>
      </c>
      <c r="G182" s="7">
        <f t="shared" si="2"/>
        <v>720</v>
      </c>
    </row>
    <row r="183" spans="1:7" ht="15.6" x14ac:dyDescent="0.3">
      <c r="A183" s="5">
        <v>44555</v>
      </c>
      <c r="B183" s="2" t="s">
        <v>19</v>
      </c>
      <c r="C183" s="2" t="s">
        <v>20</v>
      </c>
      <c r="D183" s="2" t="s">
        <v>21</v>
      </c>
      <c r="E183" s="2">
        <v>52000</v>
      </c>
      <c r="F183" s="2">
        <v>41</v>
      </c>
      <c r="G183" s="8">
        <f t="shared" si="2"/>
        <v>2132000</v>
      </c>
    </row>
    <row r="184" spans="1:7" ht="15.6" x14ac:dyDescent="0.3">
      <c r="A184" s="4">
        <v>44559</v>
      </c>
      <c r="B184" s="1" t="s">
        <v>23</v>
      </c>
      <c r="C184" s="1" t="s">
        <v>22</v>
      </c>
      <c r="D184" s="1" t="s">
        <v>14</v>
      </c>
      <c r="E184" s="1">
        <v>590</v>
      </c>
      <c r="F184" s="1">
        <v>29</v>
      </c>
      <c r="G184" s="7">
        <f t="shared" si="2"/>
        <v>17110</v>
      </c>
    </row>
    <row r="185" spans="1:7" ht="15.6" x14ac:dyDescent="0.3">
      <c r="A185" s="5">
        <v>44563</v>
      </c>
      <c r="B185" s="2" t="s">
        <v>19</v>
      </c>
      <c r="C185" s="2" t="s">
        <v>16</v>
      </c>
      <c r="D185" s="2" t="s">
        <v>24</v>
      </c>
      <c r="E185" s="2">
        <v>7999</v>
      </c>
      <c r="F185" s="2">
        <v>31</v>
      </c>
      <c r="G185" s="8">
        <f t="shared" si="2"/>
        <v>247969</v>
      </c>
    </row>
    <row r="186" spans="1:7" ht="15.6" x14ac:dyDescent="0.3">
      <c r="A186" s="4">
        <v>44567</v>
      </c>
      <c r="B186" s="1" t="s">
        <v>10</v>
      </c>
      <c r="C186" s="1" t="s">
        <v>17</v>
      </c>
      <c r="D186" s="1" t="s">
        <v>14</v>
      </c>
      <c r="E186" s="1">
        <v>999</v>
      </c>
      <c r="F186" s="1">
        <v>34</v>
      </c>
      <c r="G186" s="7">
        <f t="shared" si="2"/>
        <v>33966</v>
      </c>
    </row>
    <row r="187" spans="1:7" ht="15.6" x14ac:dyDescent="0.3">
      <c r="A187" s="5">
        <v>44571</v>
      </c>
      <c r="B187" s="2" t="s">
        <v>12</v>
      </c>
      <c r="C187" s="2" t="s">
        <v>22</v>
      </c>
      <c r="D187" s="2" t="s">
        <v>9</v>
      </c>
      <c r="E187" s="2">
        <v>990</v>
      </c>
      <c r="F187" s="2">
        <v>43</v>
      </c>
      <c r="G187" s="8">
        <f t="shared" si="2"/>
        <v>42570</v>
      </c>
    </row>
    <row r="188" spans="1:7" ht="15.6" x14ac:dyDescent="0.3">
      <c r="A188" s="4">
        <v>44575</v>
      </c>
      <c r="B188" s="1" t="s">
        <v>19</v>
      </c>
      <c r="C188" s="1" t="s">
        <v>20</v>
      </c>
      <c r="D188" s="1" t="s">
        <v>9</v>
      </c>
      <c r="E188" s="1">
        <v>11999</v>
      </c>
      <c r="F188" s="1">
        <v>37</v>
      </c>
      <c r="G188" s="7">
        <f t="shared" si="2"/>
        <v>443963</v>
      </c>
    </row>
    <row r="189" spans="1:7" ht="15.6" x14ac:dyDescent="0.3">
      <c r="A189" s="5">
        <v>44579</v>
      </c>
      <c r="B189" s="2" t="s">
        <v>19</v>
      </c>
      <c r="C189" s="2" t="s">
        <v>13</v>
      </c>
      <c r="D189" s="2" t="s">
        <v>9</v>
      </c>
      <c r="E189" s="2">
        <v>960</v>
      </c>
      <c r="F189" s="2">
        <v>7</v>
      </c>
      <c r="G189" s="8">
        <f t="shared" si="2"/>
        <v>6720</v>
      </c>
    </row>
    <row r="190" spans="1:7" ht="15.6" x14ac:dyDescent="0.3">
      <c r="A190" s="4">
        <v>44583</v>
      </c>
      <c r="B190" s="1" t="s">
        <v>7</v>
      </c>
      <c r="C190" s="1" t="s">
        <v>8</v>
      </c>
      <c r="D190" s="1" t="s">
        <v>14</v>
      </c>
      <c r="E190" s="1">
        <v>1450</v>
      </c>
      <c r="F190" s="1">
        <v>19</v>
      </c>
      <c r="G190" s="7">
        <f t="shared" si="2"/>
        <v>27550</v>
      </c>
    </row>
    <row r="191" spans="1:7" ht="15.6" x14ac:dyDescent="0.3">
      <c r="A191" s="5">
        <v>44587</v>
      </c>
      <c r="B191" s="2" t="s">
        <v>23</v>
      </c>
      <c r="C191" s="2" t="s">
        <v>22</v>
      </c>
      <c r="D191" s="2" t="s">
        <v>11</v>
      </c>
      <c r="E191" s="2">
        <v>450</v>
      </c>
      <c r="F191" s="2">
        <v>47</v>
      </c>
      <c r="G191" s="8">
        <f t="shared" si="2"/>
        <v>21150</v>
      </c>
    </row>
    <row r="192" spans="1:7" ht="15.6" x14ac:dyDescent="0.3">
      <c r="A192" s="4">
        <v>44591</v>
      </c>
      <c r="B192" s="1" t="s">
        <v>10</v>
      </c>
      <c r="C192" s="1" t="s">
        <v>22</v>
      </c>
      <c r="D192" s="1" t="s">
        <v>14</v>
      </c>
      <c r="E192" s="1">
        <v>1499</v>
      </c>
      <c r="F192" s="1">
        <v>37</v>
      </c>
      <c r="G192" s="7">
        <f t="shared" si="2"/>
        <v>55463</v>
      </c>
    </row>
    <row r="193" spans="1:7" ht="15.6" x14ac:dyDescent="0.3">
      <c r="A193" s="5">
        <v>44595</v>
      </c>
      <c r="B193" s="2" t="s">
        <v>12</v>
      </c>
      <c r="C193" s="2" t="s">
        <v>20</v>
      </c>
      <c r="D193" s="2" t="s">
        <v>11</v>
      </c>
      <c r="E193" s="2">
        <v>79999</v>
      </c>
      <c r="F193" s="2">
        <v>4</v>
      </c>
      <c r="G193" s="8">
        <f t="shared" si="2"/>
        <v>319996</v>
      </c>
    </row>
    <row r="194" spans="1:7" ht="15.6" x14ac:dyDescent="0.3">
      <c r="A194" s="4">
        <v>44599</v>
      </c>
      <c r="B194" s="1" t="s">
        <v>12</v>
      </c>
      <c r="C194" s="1" t="s">
        <v>17</v>
      </c>
      <c r="D194" s="1" t="s">
        <v>21</v>
      </c>
      <c r="E194" s="1">
        <v>999</v>
      </c>
      <c r="F194" s="1">
        <v>45</v>
      </c>
      <c r="G194" s="7">
        <f t="shared" si="2"/>
        <v>44955</v>
      </c>
    </row>
    <row r="195" spans="1:7" ht="15.6" x14ac:dyDescent="0.3">
      <c r="A195" s="5">
        <v>44603</v>
      </c>
      <c r="B195" s="2" t="s">
        <v>19</v>
      </c>
      <c r="C195" s="2" t="s">
        <v>20</v>
      </c>
      <c r="D195" s="2" t="s">
        <v>9</v>
      </c>
      <c r="E195" s="2">
        <v>52000</v>
      </c>
      <c r="F195" s="2">
        <v>15</v>
      </c>
      <c r="G195" s="8">
        <f t="shared" ref="G195:G258" si="3">E195*F195</f>
        <v>780000</v>
      </c>
    </row>
    <row r="196" spans="1:7" ht="15.6" x14ac:dyDescent="0.3">
      <c r="A196" s="4">
        <v>44607</v>
      </c>
      <c r="B196" s="1" t="s">
        <v>19</v>
      </c>
      <c r="C196" s="1" t="s">
        <v>20</v>
      </c>
      <c r="D196" s="1" t="s">
        <v>18</v>
      </c>
      <c r="E196" s="1">
        <v>52000</v>
      </c>
      <c r="F196" s="1">
        <v>39</v>
      </c>
      <c r="G196" s="7">
        <f t="shared" si="3"/>
        <v>2028000</v>
      </c>
    </row>
    <row r="197" spans="1:7" ht="15.6" x14ac:dyDescent="0.3">
      <c r="A197" s="5">
        <v>44611</v>
      </c>
      <c r="B197" s="2" t="s">
        <v>19</v>
      </c>
      <c r="C197" s="2" t="s">
        <v>13</v>
      </c>
      <c r="D197" s="2" t="s">
        <v>14</v>
      </c>
      <c r="E197" s="2">
        <v>960</v>
      </c>
      <c r="F197" s="2">
        <v>33</v>
      </c>
      <c r="G197" s="8">
        <f t="shared" si="3"/>
        <v>31680</v>
      </c>
    </row>
    <row r="198" spans="1:7" ht="15.6" x14ac:dyDescent="0.3">
      <c r="A198" s="4">
        <v>44615</v>
      </c>
      <c r="B198" s="1" t="s">
        <v>19</v>
      </c>
      <c r="C198" s="1" t="s">
        <v>13</v>
      </c>
      <c r="D198" s="1" t="s">
        <v>14</v>
      </c>
      <c r="E198" s="1">
        <v>1450</v>
      </c>
      <c r="F198" s="1">
        <v>34</v>
      </c>
      <c r="G198" s="7">
        <f t="shared" si="3"/>
        <v>49300</v>
      </c>
    </row>
    <row r="199" spans="1:7" ht="15.6" x14ac:dyDescent="0.3">
      <c r="A199" s="5">
        <v>44619</v>
      </c>
      <c r="B199" s="2" t="s">
        <v>19</v>
      </c>
      <c r="C199" s="2" t="s">
        <v>16</v>
      </c>
      <c r="D199" s="2" t="s">
        <v>18</v>
      </c>
      <c r="E199" s="2">
        <v>2999</v>
      </c>
      <c r="F199" s="2">
        <v>33</v>
      </c>
      <c r="G199" s="8">
        <f t="shared" si="3"/>
        <v>98967</v>
      </c>
    </row>
    <row r="200" spans="1:7" ht="15.6" x14ac:dyDescent="0.3">
      <c r="A200" s="4">
        <v>44623</v>
      </c>
      <c r="B200" s="1" t="s">
        <v>12</v>
      </c>
      <c r="C200" s="1" t="s">
        <v>13</v>
      </c>
      <c r="D200" s="1" t="s">
        <v>21</v>
      </c>
      <c r="E200" s="1">
        <v>1250</v>
      </c>
      <c r="F200" s="1">
        <v>14</v>
      </c>
      <c r="G200" s="7">
        <f t="shared" si="3"/>
        <v>17500</v>
      </c>
    </row>
    <row r="201" spans="1:7" ht="15.6" x14ac:dyDescent="0.3">
      <c r="A201" s="5">
        <v>44627</v>
      </c>
      <c r="B201" s="2" t="s">
        <v>15</v>
      </c>
      <c r="C201" s="2" t="s">
        <v>17</v>
      </c>
      <c r="D201" s="2" t="s">
        <v>9</v>
      </c>
      <c r="E201" s="2">
        <v>120</v>
      </c>
      <c r="F201" s="2">
        <v>41</v>
      </c>
      <c r="G201" s="8">
        <f t="shared" si="3"/>
        <v>4920</v>
      </c>
    </row>
    <row r="202" spans="1:7" ht="15.6" x14ac:dyDescent="0.3">
      <c r="A202" s="4">
        <v>44631</v>
      </c>
      <c r="B202" s="1" t="s">
        <v>10</v>
      </c>
      <c r="C202" s="1" t="s">
        <v>8</v>
      </c>
      <c r="D202" s="1" t="s">
        <v>18</v>
      </c>
      <c r="E202" s="1">
        <v>1450</v>
      </c>
      <c r="F202" s="1">
        <v>22</v>
      </c>
      <c r="G202" s="7">
        <f t="shared" si="3"/>
        <v>31900</v>
      </c>
    </row>
    <row r="203" spans="1:7" ht="15.6" x14ac:dyDescent="0.3">
      <c r="A203" s="5">
        <v>44635</v>
      </c>
      <c r="B203" s="2" t="s">
        <v>10</v>
      </c>
      <c r="C203" s="2" t="s">
        <v>20</v>
      </c>
      <c r="D203" s="2" t="s">
        <v>9</v>
      </c>
      <c r="E203" s="2">
        <v>89999</v>
      </c>
      <c r="F203" s="2">
        <v>15</v>
      </c>
      <c r="G203" s="8">
        <f t="shared" si="3"/>
        <v>1349985</v>
      </c>
    </row>
    <row r="204" spans="1:7" ht="15.6" x14ac:dyDescent="0.3">
      <c r="A204" s="4">
        <v>44639</v>
      </c>
      <c r="B204" s="1" t="s">
        <v>23</v>
      </c>
      <c r="C204" s="1" t="s">
        <v>22</v>
      </c>
      <c r="D204" s="1" t="s">
        <v>14</v>
      </c>
      <c r="E204" s="1">
        <v>1999</v>
      </c>
      <c r="F204" s="1">
        <v>48</v>
      </c>
      <c r="G204" s="7">
        <f t="shared" si="3"/>
        <v>95952</v>
      </c>
    </row>
    <row r="205" spans="1:7" ht="15.6" x14ac:dyDescent="0.3">
      <c r="A205" s="5">
        <v>44643</v>
      </c>
      <c r="B205" s="2" t="s">
        <v>23</v>
      </c>
      <c r="C205" s="2" t="s">
        <v>16</v>
      </c>
      <c r="D205" s="2" t="s">
        <v>18</v>
      </c>
      <c r="E205" s="2">
        <v>2900</v>
      </c>
      <c r="F205" s="2">
        <v>49</v>
      </c>
      <c r="G205" s="8">
        <f t="shared" si="3"/>
        <v>142100</v>
      </c>
    </row>
    <row r="206" spans="1:7" ht="15.6" x14ac:dyDescent="0.3">
      <c r="A206" s="4">
        <v>44647</v>
      </c>
      <c r="B206" s="1" t="s">
        <v>19</v>
      </c>
      <c r="C206" s="1" t="s">
        <v>20</v>
      </c>
      <c r="D206" s="1" t="s">
        <v>21</v>
      </c>
      <c r="E206" s="1">
        <v>700</v>
      </c>
      <c r="F206" s="1">
        <v>50</v>
      </c>
      <c r="G206" s="7">
        <f t="shared" si="3"/>
        <v>35000</v>
      </c>
    </row>
    <row r="207" spans="1:7" ht="15.6" x14ac:dyDescent="0.3">
      <c r="A207" s="5">
        <v>44651</v>
      </c>
      <c r="B207" s="2" t="s">
        <v>15</v>
      </c>
      <c r="C207" s="2" t="s">
        <v>17</v>
      </c>
      <c r="D207" s="2" t="s">
        <v>18</v>
      </c>
      <c r="E207" s="2">
        <v>200</v>
      </c>
      <c r="F207" s="2">
        <v>41</v>
      </c>
      <c r="G207" s="8">
        <f t="shared" si="3"/>
        <v>8200</v>
      </c>
    </row>
    <row r="208" spans="1:7" ht="15.6" x14ac:dyDescent="0.3">
      <c r="A208" s="4">
        <v>44655</v>
      </c>
      <c r="B208" s="1" t="s">
        <v>7</v>
      </c>
      <c r="C208" s="1" t="s">
        <v>8</v>
      </c>
      <c r="D208" s="1" t="s">
        <v>14</v>
      </c>
      <c r="E208" s="1">
        <v>499</v>
      </c>
      <c r="F208" s="1">
        <v>29</v>
      </c>
      <c r="G208" s="7">
        <f t="shared" si="3"/>
        <v>14471</v>
      </c>
    </row>
    <row r="209" spans="1:7" ht="15.6" x14ac:dyDescent="0.3">
      <c r="A209" s="5">
        <v>44659</v>
      </c>
      <c r="B209" s="2" t="s">
        <v>12</v>
      </c>
      <c r="C209" s="2" t="s">
        <v>8</v>
      </c>
      <c r="D209" s="2" t="s">
        <v>24</v>
      </c>
      <c r="E209" s="2">
        <v>5599</v>
      </c>
      <c r="F209" s="2">
        <v>36</v>
      </c>
      <c r="G209" s="8">
        <f t="shared" si="3"/>
        <v>201564</v>
      </c>
    </row>
    <row r="210" spans="1:7" ht="15.6" x14ac:dyDescent="0.3">
      <c r="A210" s="4">
        <v>44663</v>
      </c>
      <c r="B210" s="1" t="s">
        <v>10</v>
      </c>
      <c r="C210" s="1" t="s">
        <v>17</v>
      </c>
      <c r="D210" s="1" t="s">
        <v>18</v>
      </c>
      <c r="E210" s="1">
        <v>100</v>
      </c>
      <c r="F210" s="1">
        <v>39</v>
      </c>
      <c r="G210" s="7">
        <f t="shared" si="3"/>
        <v>3900</v>
      </c>
    </row>
    <row r="211" spans="1:7" ht="15.6" x14ac:dyDescent="0.3">
      <c r="A211" s="5">
        <v>44667</v>
      </c>
      <c r="B211" s="2" t="s">
        <v>19</v>
      </c>
      <c r="C211" s="2" t="s">
        <v>16</v>
      </c>
      <c r="D211" s="2" t="s">
        <v>18</v>
      </c>
      <c r="E211" s="2">
        <v>79999</v>
      </c>
      <c r="F211" s="2">
        <v>9</v>
      </c>
      <c r="G211" s="8">
        <f t="shared" si="3"/>
        <v>719991</v>
      </c>
    </row>
    <row r="212" spans="1:7" ht="15.6" x14ac:dyDescent="0.3">
      <c r="A212" s="4">
        <v>44671</v>
      </c>
      <c r="B212" s="1" t="s">
        <v>12</v>
      </c>
      <c r="C212" s="1" t="s">
        <v>20</v>
      </c>
      <c r="D212" s="1" t="s">
        <v>14</v>
      </c>
      <c r="E212" s="1">
        <v>700</v>
      </c>
      <c r="F212" s="1">
        <v>38</v>
      </c>
      <c r="G212" s="7">
        <f t="shared" si="3"/>
        <v>26600</v>
      </c>
    </row>
    <row r="213" spans="1:7" ht="15.6" x14ac:dyDescent="0.3">
      <c r="A213" s="5">
        <v>44675</v>
      </c>
      <c r="B213" s="2" t="s">
        <v>19</v>
      </c>
      <c r="C213" s="2" t="s">
        <v>13</v>
      </c>
      <c r="D213" s="2" t="s">
        <v>9</v>
      </c>
      <c r="E213" s="2">
        <v>550</v>
      </c>
      <c r="F213" s="2">
        <v>25</v>
      </c>
      <c r="G213" s="8">
        <f t="shared" si="3"/>
        <v>13750</v>
      </c>
    </row>
    <row r="214" spans="1:7" ht="15.6" x14ac:dyDescent="0.3">
      <c r="A214" s="4">
        <v>44679</v>
      </c>
      <c r="B214" s="1" t="s">
        <v>23</v>
      </c>
      <c r="C214" s="1" t="s">
        <v>22</v>
      </c>
      <c r="D214" s="1" t="s">
        <v>18</v>
      </c>
      <c r="E214" s="1">
        <v>1499</v>
      </c>
      <c r="F214" s="1">
        <v>16</v>
      </c>
      <c r="G214" s="7">
        <f t="shared" si="3"/>
        <v>23984</v>
      </c>
    </row>
    <row r="215" spans="1:7" ht="15.6" x14ac:dyDescent="0.3">
      <c r="A215" s="5">
        <v>44683</v>
      </c>
      <c r="B215" s="2" t="s">
        <v>15</v>
      </c>
      <c r="C215" s="2" t="s">
        <v>17</v>
      </c>
      <c r="D215" s="2" t="s">
        <v>21</v>
      </c>
      <c r="E215" s="2">
        <v>120</v>
      </c>
      <c r="F215" s="2">
        <v>22</v>
      </c>
      <c r="G215" s="8">
        <f t="shared" si="3"/>
        <v>2640</v>
      </c>
    </row>
    <row r="216" spans="1:7" ht="15.6" x14ac:dyDescent="0.3">
      <c r="A216" s="4">
        <v>44687</v>
      </c>
      <c r="B216" s="1" t="s">
        <v>7</v>
      </c>
      <c r="C216" s="1" t="s">
        <v>8</v>
      </c>
      <c r="D216" s="1" t="s">
        <v>11</v>
      </c>
      <c r="E216" s="1">
        <v>1450</v>
      </c>
      <c r="F216" s="1">
        <v>20</v>
      </c>
      <c r="G216" s="7">
        <f t="shared" si="3"/>
        <v>29000</v>
      </c>
    </row>
    <row r="217" spans="1:7" ht="15.6" x14ac:dyDescent="0.3">
      <c r="A217" s="5">
        <v>44691</v>
      </c>
      <c r="B217" s="2" t="s">
        <v>23</v>
      </c>
      <c r="C217" s="2" t="s">
        <v>16</v>
      </c>
      <c r="D217" s="2" t="s">
        <v>14</v>
      </c>
      <c r="E217" s="2">
        <v>1999</v>
      </c>
      <c r="F217" s="2">
        <v>23</v>
      </c>
      <c r="G217" s="8">
        <f t="shared" si="3"/>
        <v>45977</v>
      </c>
    </row>
    <row r="218" spans="1:7" ht="15.6" x14ac:dyDescent="0.3">
      <c r="A218" s="4">
        <v>44695</v>
      </c>
      <c r="B218" s="1" t="s">
        <v>7</v>
      </c>
      <c r="C218" s="1" t="s">
        <v>8</v>
      </c>
      <c r="D218" s="1" t="s">
        <v>18</v>
      </c>
      <c r="E218" s="1">
        <v>800</v>
      </c>
      <c r="F218" s="1">
        <v>43</v>
      </c>
      <c r="G218" s="7">
        <f t="shared" si="3"/>
        <v>34400</v>
      </c>
    </row>
    <row r="219" spans="1:7" ht="15.6" x14ac:dyDescent="0.3">
      <c r="A219" s="5">
        <v>44699</v>
      </c>
      <c r="B219" s="2" t="s">
        <v>12</v>
      </c>
      <c r="C219" s="2" t="s">
        <v>17</v>
      </c>
      <c r="D219" s="2" t="s">
        <v>21</v>
      </c>
      <c r="E219" s="2">
        <v>100</v>
      </c>
      <c r="F219" s="2">
        <v>41</v>
      </c>
      <c r="G219" s="8">
        <f t="shared" si="3"/>
        <v>4100</v>
      </c>
    </row>
    <row r="220" spans="1:7" ht="15.6" x14ac:dyDescent="0.3">
      <c r="A220" s="4">
        <v>44703</v>
      </c>
      <c r="B220" s="1" t="s">
        <v>7</v>
      </c>
      <c r="C220" s="1" t="s">
        <v>8</v>
      </c>
      <c r="D220" s="1" t="s">
        <v>14</v>
      </c>
      <c r="E220" s="1">
        <v>13999</v>
      </c>
      <c r="F220" s="1">
        <v>37</v>
      </c>
      <c r="G220" s="7">
        <f t="shared" si="3"/>
        <v>517963</v>
      </c>
    </row>
    <row r="221" spans="1:7" ht="15.6" x14ac:dyDescent="0.3">
      <c r="A221" s="5">
        <v>44707</v>
      </c>
      <c r="B221" s="2" t="s">
        <v>19</v>
      </c>
      <c r="C221" s="2" t="s">
        <v>20</v>
      </c>
      <c r="D221" s="2" t="s">
        <v>18</v>
      </c>
      <c r="E221" s="2">
        <v>22000</v>
      </c>
      <c r="F221" s="2">
        <v>45</v>
      </c>
      <c r="G221" s="8">
        <f t="shared" si="3"/>
        <v>990000</v>
      </c>
    </row>
    <row r="222" spans="1:7" ht="15.6" x14ac:dyDescent="0.3">
      <c r="A222" s="4">
        <v>44711</v>
      </c>
      <c r="B222" s="1" t="s">
        <v>19</v>
      </c>
      <c r="C222" s="1" t="s">
        <v>20</v>
      </c>
      <c r="D222" s="1" t="s">
        <v>24</v>
      </c>
      <c r="E222" s="1">
        <v>89999</v>
      </c>
      <c r="F222" s="1">
        <v>15</v>
      </c>
      <c r="G222" s="7">
        <f t="shared" si="3"/>
        <v>1349985</v>
      </c>
    </row>
    <row r="223" spans="1:7" ht="15.6" x14ac:dyDescent="0.3">
      <c r="A223" s="5">
        <v>44715</v>
      </c>
      <c r="B223" s="2" t="s">
        <v>10</v>
      </c>
      <c r="C223" s="2" t="s">
        <v>16</v>
      </c>
      <c r="D223" s="2" t="s">
        <v>18</v>
      </c>
      <c r="E223" s="2">
        <v>13999</v>
      </c>
      <c r="F223" s="2">
        <v>22</v>
      </c>
      <c r="G223" s="8">
        <f t="shared" si="3"/>
        <v>307978</v>
      </c>
    </row>
    <row r="224" spans="1:7" ht="15.6" x14ac:dyDescent="0.3">
      <c r="A224" s="4">
        <v>44719</v>
      </c>
      <c r="B224" s="1" t="s">
        <v>12</v>
      </c>
      <c r="C224" s="1" t="s">
        <v>22</v>
      </c>
      <c r="D224" s="1" t="s">
        <v>14</v>
      </c>
      <c r="E224" s="1">
        <v>2900</v>
      </c>
      <c r="F224" s="1">
        <v>20</v>
      </c>
      <c r="G224" s="7">
        <f t="shared" si="3"/>
        <v>58000</v>
      </c>
    </row>
    <row r="225" spans="1:7" ht="15.6" x14ac:dyDescent="0.3">
      <c r="A225" s="5">
        <v>44723</v>
      </c>
      <c r="B225" s="2" t="s">
        <v>10</v>
      </c>
      <c r="C225" s="2" t="s">
        <v>20</v>
      </c>
      <c r="D225" s="2" t="s">
        <v>18</v>
      </c>
      <c r="E225" s="2">
        <v>33000</v>
      </c>
      <c r="F225" s="2">
        <v>16</v>
      </c>
      <c r="G225" s="8">
        <f t="shared" si="3"/>
        <v>528000</v>
      </c>
    </row>
    <row r="226" spans="1:7" ht="15.6" x14ac:dyDescent="0.3">
      <c r="A226" s="4">
        <v>44727</v>
      </c>
      <c r="B226" s="1" t="s">
        <v>19</v>
      </c>
      <c r="C226" s="1" t="s">
        <v>16</v>
      </c>
      <c r="D226" s="1" t="s">
        <v>11</v>
      </c>
      <c r="E226" s="1">
        <v>22000</v>
      </c>
      <c r="F226" s="1">
        <v>17</v>
      </c>
      <c r="G226" s="7">
        <f t="shared" si="3"/>
        <v>374000</v>
      </c>
    </row>
    <row r="227" spans="1:7" ht="15.6" x14ac:dyDescent="0.3">
      <c r="A227" s="5">
        <v>44731</v>
      </c>
      <c r="B227" s="2" t="s">
        <v>23</v>
      </c>
      <c r="C227" s="2" t="s">
        <v>22</v>
      </c>
      <c r="D227" s="2" t="s">
        <v>11</v>
      </c>
      <c r="E227" s="2">
        <v>699</v>
      </c>
      <c r="F227" s="2">
        <v>50</v>
      </c>
      <c r="G227" s="8">
        <f t="shared" si="3"/>
        <v>34950</v>
      </c>
    </row>
    <row r="228" spans="1:7" ht="15.6" x14ac:dyDescent="0.3">
      <c r="A228" s="4">
        <v>44735</v>
      </c>
      <c r="B228" s="1" t="s">
        <v>12</v>
      </c>
      <c r="C228" s="1" t="s">
        <v>20</v>
      </c>
      <c r="D228" s="1" t="s">
        <v>14</v>
      </c>
      <c r="E228" s="1">
        <v>499</v>
      </c>
      <c r="F228" s="1">
        <v>4</v>
      </c>
      <c r="G228" s="7">
        <f t="shared" si="3"/>
        <v>1996</v>
      </c>
    </row>
    <row r="229" spans="1:7" ht="15.6" x14ac:dyDescent="0.3">
      <c r="A229" s="5">
        <v>44739</v>
      </c>
      <c r="B229" s="2" t="s">
        <v>23</v>
      </c>
      <c r="C229" s="2" t="s">
        <v>22</v>
      </c>
      <c r="D229" s="2" t="s">
        <v>18</v>
      </c>
      <c r="E229" s="2">
        <v>590</v>
      </c>
      <c r="F229" s="2">
        <v>43</v>
      </c>
      <c r="G229" s="8">
        <f t="shared" si="3"/>
        <v>25370</v>
      </c>
    </row>
    <row r="230" spans="1:7" ht="15.6" x14ac:dyDescent="0.3">
      <c r="A230" s="4">
        <v>44743</v>
      </c>
      <c r="B230" s="1" t="s">
        <v>23</v>
      </c>
      <c r="C230" s="1" t="s">
        <v>22</v>
      </c>
      <c r="D230" s="1" t="s">
        <v>11</v>
      </c>
      <c r="E230" s="1">
        <v>590</v>
      </c>
      <c r="F230" s="1">
        <v>42</v>
      </c>
      <c r="G230" s="7">
        <f t="shared" si="3"/>
        <v>24780</v>
      </c>
    </row>
    <row r="231" spans="1:7" ht="15.6" x14ac:dyDescent="0.3">
      <c r="A231" s="5">
        <v>44747</v>
      </c>
      <c r="B231" s="2" t="s">
        <v>15</v>
      </c>
      <c r="C231" s="2" t="s">
        <v>17</v>
      </c>
      <c r="D231" s="2" t="s">
        <v>9</v>
      </c>
      <c r="E231" s="2">
        <v>120</v>
      </c>
      <c r="F231" s="2">
        <v>9</v>
      </c>
      <c r="G231" s="8">
        <f t="shared" si="3"/>
        <v>1080</v>
      </c>
    </row>
    <row r="232" spans="1:7" ht="15.6" x14ac:dyDescent="0.3">
      <c r="A232" s="4">
        <v>44751</v>
      </c>
      <c r="B232" s="1" t="s">
        <v>12</v>
      </c>
      <c r="C232" s="1" t="s">
        <v>20</v>
      </c>
      <c r="D232" s="1" t="s">
        <v>24</v>
      </c>
      <c r="E232" s="1">
        <v>52000</v>
      </c>
      <c r="F232" s="1">
        <v>40</v>
      </c>
      <c r="G232" s="7">
        <f t="shared" si="3"/>
        <v>2080000</v>
      </c>
    </row>
    <row r="233" spans="1:7" ht="15.6" x14ac:dyDescent="0.3">
      <c r="A233" s="5">
        <v>44755</v>
      </c>
      <c r="B233" s="2" t="s">
        <v>19</v>
      </c>
      <c r="C233" s="2" t="s">
        <v>16</v>
      </c>
      <c r="D233" s="2" t="s">
        <v>18</v>
      </c>
      <c r="E233" s="2">
        <v>7999</v>
      </c>
      <c r="F233" s="2">
        <v>14</v>
      </c>
      <c r="G233" s="8">
        <f t="shared" si="3"/>
        <v>111986</v>
      </c>
    </row>
    <row r="234" spans="1:7" ht="15.6" x14ac:dyDescent="0.3">
      <c r="A234" s="4">
        <v>44759</v>
      </c>
      <c r="B234" s="1" t="s">
        <v>12</v>
      </c>
      <c r="C234" s="1" t="s">
        <v>13</v>
      </c>
      <c r="D234" s="1" t="s">
        <v>21</v>
      </c>
      <c r="E234" s="1">
        <v>550</v>
      </c>
      <c r="F234" s="1">
        <v>9</v>
      </c>
      <c r="G234" s="7">
        <f t="shared" si="3"/>
        <v>4950</v>
      </c>
    </row>
    <row r="235" spans="1:7" ht="15.6" x14ac:dyDescent="0.3">
      <c r="A235" s="5">
        <v>44763</v>
      </c>
      <c r="B235" s="2" t="s">
        <v>19</v>
      </c>
      <c r="C235" s="2" t="s">
        <v>20</v>
      </c>
      <c r="D235" s="2" t="s">
        <v>18</v>
      </c>
      <c r="E235" s="2">
        <v>79999</v>
      </c>
      <c r="F235" s="2">
        <v>10</v>
      </c>
      <c r="G235" s="8">
        <f t="shared" si="3"/>
        <v>799990</v>
      </c>
    </row>
    <row r="236" spans="1:7" ht="15.6" x14ac:dyDescent="0.3">
      <c r="A236" s="4">
        <v>44767</v>
      </c>
      <c r="B236" s="1" t="s">
        <v>10</v>
      </c>
      <c r="C236" s="1" t="s">
        <v>16</v>
      </c>
      <c r="D236" s="1" t="s">
        <v>11</v>
      </c>
      <c r="E236" s="1">
        <v>1999</v>
      </c>
      <c r="F236" s="1">
        <v>37</v>
      </c>
      <c r="G236" s="7">
        <f t="shared" si="3"/>
        <v>73963</v>
      </c>
    </row>
    <row r="237" spans="1:7" ht="15.6" x14ac:dyDescent="0.3">
      <c r="A237" s="5">
        <v>44771</v>
      </c>
      <c r="B237" s="2" t="s">
        <v>12</v>
      </c>
      <c r="C237" s="2" t="s">
        <v>20</v>
      </c>
      <c r="D237" s="2" t="s">
        <v>18</v>
      </c>
      <c r="E237" s="2">
        <v>89999</v>
      </c>
      <c r="F237" s="2">
        <v>29</v>
      </c>
      <c r="G237" s="8">
        <f t="shared" si="3"/>
        <v>2609971</v>
      </c>
    </row>
    <row r="238" spans="1:7" ht="15.6" x14ac:dyDescent="0.3">
      <c r="A238" s="4">
        <v>44775</v>
      </c>
      <c r="B238" s="1" t="s">
        <v>19</v>
      </c>
      <c r="C238" s="1" t="s">
        <v>20</v>
      </c>
      <c r="D238" s="1" t="s">
        <v>9</v>
      </c>
      <c r="E238" s="1">
        <v>799</v>
      </c>
      <c r="F238" s="1">
        <v>44</v>
      </c>
      <c r="G238" s="7">
        <f t="shared" si="3"/>
        <v>35156</v>
      </c>
    </row>
    <row r="239" spans="1:7" ht="15.6" x14ac:dyDescent="0.3">
      <c r="A239" s="5">
        <v>44779</v>
      </c>
      <c r="B239" s="2" t="s">
        <v>19</v>
      </c>
      <c r="C239" s="2" t="s">
        <v>20</v>
      </c>
      <c r="D239" s="2" t="s">
        <v>24</v>
      </c>
      <c r="E239" s="2">
        <v>3990</v>
      </c>
      <c r="F239" s="2">
        <v>31</v>
      </c>
      <c r="G239" s="8">
        <f t="shared" si="3"/>
        <v>123690</v>
      </c>
    </row>
    <row r="240" spans="1:7" ht="15.6" x14ac:dyDescent="0.3">
      <c r="A240" s="4">
        <v>44783</v>
      </c>
      <c r="B240" s="1" t="s">
        <v>12</v>
      </c>
      <c r="C240" s="1" t="s">
        <v>16</v>
      </c>
      <c r="D240" s="1" t="s">
        <v>14</v>
      </c>
      <c r="E240" s="1">
        <v>52000</v>
      </c>
      <c r="F240" s="1">
        <v>29</v>
      </c>
      <c r="G240" s="7">
        <f t="shared" si="3"/>
        <v>1508000</v>
      </c>
    </row>
    <row r="241" spans="1:7" ht="15.6" x14ac:dyDescent="0.3">
      <c r="A241" s="5">
        <v>44787</v>
      </c>
      <c r="B241" s="2" t="s">
        <v>7</v>
      </c>
      <c r="C241" s="2" t="s">
        <v>8</v>
      </c>
      <c r="D241" s="2" t="s">
        <v>18</v>
      </c>
      <c r="E241" s="2">
        <v>13999</v>
      </c>
      <c r="F241" s="2">
        <v>34</v>
      </c>
      <c r="G241" s="8">
        <f t="shared" si="3"/>
        <v>475966</v>
      </c>
    </row>
    <row r="242" spans="1:7" ht="15.6" x14ac:dyDescent="0.3">
      <c r="A242" s="4">
        <v>44791</v>
      </c>
      <c r="B242" s="1" t="s">
        <v>12</v>
      </c>
      <c r="C242" s="1" t="s">
        <v>17</v>
      </c>
      <c r="D242" s="1" t="s">
        <v>14</v>
      </c>
      <c r="E242" s="1">
        <v>120</v>
      </c>
      <c r="F242" s="1">
        <v>29</v>
      </c>
      <c r="G242" s="7">
        <f t="shared" si="3"/>
        <v>3480</v>
      </c>
    </row>
    <row r="243" spans="1:7" ht="15.6" x14ac:dyDescent="0.3">
      <c r="A243" s="5">
        <v>44795</v>
      </c>
      <c r="B243" s="2" t="s">
        <v>19</v>
      </c>
      <c r="C243" s="2" t="s">
        <v>13</v>
      </c>
      <c r="D243" s="2" t="s">
        <v>9</v>
      </c>
      <c r="E243" s="2">
        <v>23999</v>
      </c>
      <c r="F243" s="2">
        <v>25</v>
      </c>
      <c r="G243" s="8">
        <f t="shared" si="3"/>
        <v>599975</v>
      </c>
    </row>
    <row r="244" spans="1:7" ht="15.6" x14ac:dyDescent="0.3">
      <c r="A244" s="4">
        <v>44799</v>
      </c>
      <c r="B244" s="1" t="s">
        <v>12</v>
      </c>
      <c r="C244" s="1" t="s">
        <v>13</v>
      </c>
      <c r="D244" s="1" t="s">
        <v>18</v>
      </c>
      <c r="E244" s="1">
        <v>1250</v>
      </c>
      <c r="F244" s="1">
        <v>31</v>
      </c>
      <c r="G244" s="7">
        <f t="shared" si="3"/>
        <v>38750</v>
      </c>
    </row>
    <row r="245" spans="1:7" ht="15.6" x14ac:dyDescent="0.3">
      <c r="A245" s="5">
        <v>44803</v>
      </c>
      <c r="B245" s="2" t="s">
        <v>23</v>
      </c>
      <c r="C245" s="2" t="s">
        <v>16</v>
      </c>
      <c r="D245" s="2" t="s">
        <v>18</v>
      </c>
      <c r="E245" s="2">
        <v>45000</v>
      </c>
      <c r="F245" s="2">
        <v>16</v>
      </c>
      <c r="G245" s="8">
        <f t="shared" si="3"/>
        <v>720000</v>
      </c>
    </row>
    <row r="246" spans="1:7" ht="15.6" x14ac:dyDescent="0.3">
      <c r="A246" s="4">
        <v>44807</v>
      </c>
      <c r="B246" s="1" t="s">
        <v>10</v>
      </c>
      <c r="C246" s="1" t="s">
        <v>17</v>
      </c>
      <c r="D246" s="1" t="s">
        <v>14</v>
      </c>
      <c r="E246" s="1">
        <v>120</v>
      </c>
      <c r="F246" s="1">
        <v>48</v>
      </c>
      <c r="G246" s="7">
        <f t="shared" si="3"/>
        <v>5760</v>
      </c>
    </row>
    <row r="247" spans="1:7" ht="15.6" x14ac:dyDescent="0.3">
      <c r="A247" s="5">
        <v>44811</v>
      </c>
      <c r="B247" s="2" t="s">
        <v>12</v>
      </c>
      <c r="C247" s="2" t="s">
        <v>16</v>
      </c>
      <c r="D247" s="2" t="s">
        <v>21</v>
      </c>
      <c r="E247" s="2">
        <v>25600</v>
      </c>
      <c r="F247" s="2">
        <v>22</v>
      </c>
      <c r="G247" s="8">
        <f t="shared" si="3"/>
        <v>563200</v>
      </c>
    </row>
    <row r="248" spans="1:7" ht="15.6" x14ac:dyDescent="0.3">
      <c r="A248" s="4">
        <v>44815</v>
      </c>
      <c r="B248" s="1" t="s">
        <v>23</v>
      </c>
      <c r="C248" s="1" t="s">
        <v>22</v>
      </c>
      <c r="D248" s="1" t="s">
        <v>18</v>
      </c>
      <c r="E248" s="1">
        <v>699</v>
      </c>
      <c r="F248" s="1">
        <v>6</v>
      </c>
      <c r="G248" s="7">
        <f t="shared" si="3"/>
        <v>4194</v>
      </c>
    </row>
    <row r="249" spans="1:7" ht="15.6" x14ac:dyDescent="0.3">
      <c r="A249" s="5">
        <v>44819</v>
      </c>
      <c r="B249" s="2" t="s">
        <v>23</v>
      </c>
      <c r="C249" s="2" t="s">
        <v>16</v>
      </c>
      <c r="D249" s="2" t="s">
        <v>14</v>
      </c>
      <c r="E249" s="2">
        <v>99620</v>
      </c>
      <c r="F249" s="2">
        <v>12</v>
      </c>
      <c r="G249" s="8">
        <f t="shared" si="3"/>
        <v>1195440</v>
      </c>
    </row>
    <row r="250" spans="1:7" ht="15.6" x14ac:dyDescent="0.3">
      <c r="A250" s="4">
        <v>44823</v>
      </c>
      <c r="B250" s="1" t="s">
        <v>12</v>
      </c>
      <c r="C250" s="1" t="s">
        <v>22</v>
      </c>
      <c r="D250" s="1" t="s">
        <v>24</v>
      </c>
      <c r="E250" s="1">
        <v>450</v>
      </c>
      <c r="F250" s="1">
        <v>44</v>
      </c>
      <c r="G250" s="7">
        <f t="shared" si="3"/>
        <v>19800</v>
      </c>
    </row>
    <row r="251" spans="1:7" ht="15.6" x14ac:dyDescent="0.3">
      <c r="A251" s="5">
        <v>44827</v>
      </c>
      <c r="B251" s="2" t="s">
        <v>23</v>
      </c>
      <c r="C251" s="2" t="s">
        <v>22</v>
      </c>
      <c r="D251" s="2" t="s">
        <v>14</v>
      </c>
      <c r="E251" s="2">
        <v>1499</v>
      </c>
      <c r="F251" s="2">
        <v>15</v>
      </c>
      <c r="G251" s="8">
        <f t="shared" si="3"/>
        <v>22485</v>
      </c>
    </row>
    <row r="252" spans="1:7" ht="15.6" x14ac:dyDescent="0.3">
      <c r="A252" s="4">
        <v>44831</v>
      </c>
      <c r="B252" s="1" t="s">
        <v>7</v>
      </c>
      <c r="C252" s="1" t="s">
        <v>16</v>
      </c>
      <c r="D252" s="1" t="s">
        <v>21</v>
      </c>
      <c r="E252" s="1">
        <v>49500</v>
      </c>
      <c r="F252" s="1">
        <v>26</v>
      </c>
      <c r="G252" s="7">
        <f t="shared" si="3"/>
        <v>1287000</v>
      </c>
    </row>
    <row r="253" spans="1:7" ht="15.6" x14ac:dyDescent="0.3">
      <c r="A253" s="5">
        <v>44835</v>
      </c>
      <c r="B253" s="2" t="s">
        <v>10</v>
      </c>
      <c r="C253" s="2" t="s">
        <v>13</v>
      </c>
      <c r="D253" s="2" t="s">
        <v>21</v>
      </c>
      <c r="E253" s="2">
        <v>960</v>
      </c>
      <c r="F253" s="2">
        <v>16</v>
      </c>
      <c r="G253" s="8">
        <f t="shared" si="3"/>
        <v>15360</v>
      </c>
    </row>
    <row r="254" spans="1:7" ht="15.6" x14ac:dyDescent="0.3">
      <c r="A254" s="4">
        <v>44839</v>
      </c>
      <c r="B254" s="1" t="s">
        <v>12</v>
      </c>
      <c r="C254" s="1" t="s">
        <v>8</v>
      </c>
      <c r="D254" s="1" t="s">
        <v>18</v>
      </c>
      <c r="E254" s="1">
        <v>5599</v>
      </c>
      <c r="F254" s="1">
        <v>35</v>
      </c>
      <c r="G254" s="7">
        <f t="shared" si="3"/>
        <v>195965</v>
      </c>
    </row>
    <row r="255" spans="1:7" ht="15.6" x14ac:dyDescent="0.3">
      <c r="A255" s="5">
        <v>44843</v>
      </c>
      <c r="B255" s="2" t="s">
        <v>15</v>
      </c>
      <c r="C255" s="2" t="s">
        <v>17</v>
      </c>
      <c r="D255" s="2" t="s">
        <v>9</v>
      </c>
      <c r="E255" s="2">
        <v>89</v>
      </c>
      <c r="F255" s="2">
        <v>36</v>
      </c>
      <c r="G255" s="8">
        <f t="shared" si="3"/>
        <v>3204</v>
      </c>
    </row>
    <row r="256" spans="1:7" ht="15.6" x14ac:dyDescent="0.3">
      <c r="A256" s="4">
        <v>44847</v>
      </c>
      <c r="B256" s="1" t="s">
        <v>7</v>
      </c>
      <c r="C256" s="1" t="s">
        <v>8</v>
      </c>
      <c r="D256" s="1" t="s">
        <v>24</v>
      </c>
      <c r="E256" s="1">
        <v>2550</v>
      </c>
      <c r="F256" s="1">
        <v>20</v>
      </c>
      <c r="G256" s="7">
        <f t="shared" si="3"/>
        <v>51000</v>
      </c>
    </row>
    <row r="257" spans="1:7" ht="15.6" x14ac:dyDescent="0.3">
      <c r="A257" s="5">
        <v>44851</v>
      </c>
      <c r="B257" s="2" t="s">
        <v>12</v>
      </c>
      <c r="C257" s="2" t="s">
        <v>16</v>
      </c>
      <c r="D257" s="2" t="s">
        <v>9</v>
      </c>
      <c r="E257" s="2">
        <v>14500</v>
      </c>
      <c r="F257" s="2">
        <v>47</v>
      </c>
      <c r="G257" s="8">
        <f t="shared" si="3"/>
        <v>681500</v>
      </c>
    </row>
    <row r="258" spans="1:7" ht="15.6" x14ac:dyDescent="0.3">
      <c r="A258" s="4">
        <v>44855</v>
      </c>
      <c r="B258" s="1" t="s">
        <v>23</v>
      </c>
      <c r="C258" s="1" t="s">
        <v>22</v>
      </c>
      <c r="D258" s="1" t="s">
        <v>18</v>
      </c>
      <c r="E258" s="1">
        <v>2900</v>
      </c>
      <c r="F258" s="1">
        <v>6</v>
      </c>
      <c r="G258" s="7">
        <f t="shared" si="3"/>
        <v>17400</v>
      </c>
    </row>
    <row r="259" spans="1:7" ht="15.6" x14ac:dyDescent="0.3">
      <c r="A259" s="5">
        <v>44859</v>
      </c>
      <c r="B259" s="2" t="s">
        <v>15</v>
      </c>
      <c r="C259" s="2" t="s">
        <v>17</v>
      </c>
      <c r="D259" s="2" t="s">
        <v>21</v>
      </c>
      <c r="E259" s="2">
        <v>120</v>
      </c>
      <c r="F259" s="2">
        <v>6</v>
      </c>
      <c r="G259" s="8">
        <f t="shared" ref="G259:G279" si="4">E259*F259</f>
        <v>720</v>
      </c>
    </row>
    <row r="260" spans="1:7" ht="15.6" x14ac:dyDescent="0.3">
      <c r="A260" s="4">
        <v>44863</v>
      </c>
      <c r="B260" s="1" t="s">
        <v>19</v>
      </c>
      <c r="C260" s="1" t="s">
        <v>16</v>
      </c>
      <c r="D260" s="1" t="s">
        <v>14</v>
      </c>
      <c r="E260" s="1">
        <v>52000</v>
      </c>
      <c r="F260" s="1">
        <v>41</v>
      </c>
      <c r="G260" s="7">
        <f t="shared" si="4"/>
        <v>2132000</v>
      </c>
    </row>
    <row r="261" spans="1:7" ht="15.6" x14ac:dyDescent="0.3">
      <c r="A261" s="5">
        <v>44867</v>
      </c>
      <c r="B261" s="2" t="s">
        <v>10</v>
      </c>
      <c r="C261" s="2" t="s">
        <v>22</v>
      </c>
      <c r="D261" s="2" t="s">
        <v>11</v>
      </c>
      <c r="E261" s="2">
        <v>590</v>
      </c>
      <c r="F261" s="2">
        <v>29</v>
      </c>
      <c r="G261" s="8">
        <f t="shared" si="4"/>
        <v>17110</v>
      </c>
    </row>
    <row r="262" spans="1:7" ht="15.6" x14ac:dyDescent="0.3">
      <c r="A262" s="4">
        <v>44871</v>
      </c>
      <c r="B262" s="1" t="s">
        <v>19</v>
      </c>
      <c r="C262" s="1" t="s">
        <v>13</v>
      </c>
      <c r="D262" s="1" t="s">
        <v>21</v>
      </c>
      <c r="E262" s="1">
        <v>7999</v>
      </c>
      <c r="F262" s="1">
        <v>31</v>
      </c>
      <c r="G262" s="7">
        <f t="shared" si="4"/>
        <v>247969</v>
      </c>
    </row>
    <row r="263" spans="1:7" ht="15.6" x14ac:dyDescent="0.3">
      <c r="A263" s="5">
        <v>44875</v>
      </c>
      <c r="B263" s="2" t="s">
        <v>12</v>
      </c>
      <c r="C263" s="2" t="s">
        <v>17</v>
      </c>
      <c r="D263" s="2" t="s">
        <v>11</v>
      </c>
      <c r="E263" s="2">
        <v>999</v>
      </c>
      <c r="F263" s="2">
        <v>34</v>
      </c>
      <c r="G263" s="8">
        <f t="shared" si="4"/>
        <v>33966</v>
      </c>
    </row>
    <row r="264" spans="1:7" ht="15.6" x14ac:dyDescent="0.3">
      <c r="A264" s="4">
        <v>44879</v>
      </c>
      <c r="B264" s="1" t="s">
        <v>23</v>
      </c>
      <c r="C264" s="1" t="s">
        <v>16</v>
      </c>
      <c r="D264" s="1" t="s">
        <v>14</v>
      </c>
      <c r="E264" s="1">
        <v>990</v>
      </c>
      <c r="F264" s="1">
        <v>43</v>
      </c>
      <c r="G264" s="7">
        <f t="shared" si="4"/>
        <v>42570</v>
      </c>
    </row>
    <row r="265" spans="1:7" ht="15.6" x14ac:dyDescent="0.3">
      <c r="A265" s="5">
        <v>44883</v>
      </c>
      <c r="B265" s="2" t="s">
        <v>12</v>
      </c>
      <c r="C265" s="2" t="s">
        <v>20</v>
      </c>
      <c r="D265" s="2" t="s">
        <v>9</v>
      </c>
      <c r="E265" s="2">
        <v>11999</v>
      </c>
      <c r="F265" s="2">
        <v>37</v>
      </c>
      <c r="G265" s="8">
        <f t="shared" si="4"/>
        <v>443963</v>
      </c>
    </row>
    <row r="266" spans="1:7" ht="15.6" x14ac:dyDescent="0.3">
      <c r="A266" s="4">
        <v>44887</v>
      </c>
      <c r="B266" s="1" t="s">
        <v>10</v>
      </c>
      <c r="C266" s="1" t="s">
        <v>13</v>
      </c>
      <c r="D266" s="1" t="s">
        <v>9</v>
      </c>
      <c r="E266" s="1">
        <v>960</v>
      </c>
      <c r="F266" s="1">
        <v>7</v>
      </c>
      <c r="G266" s="7">
        <f t="shared" si="4"/>
        <v>6720</v>
      </c>
    </row>
    <row r="267" spans="1:7" ht="15.6" x14ac:dyDescent="0.3">
      <c r="A267" s="5">
        <v>44891</v>
      </c>
      <c r="B267" s="2" t="s">
        <v>7</v>
      </c>
      <c r="C267" s="2" t="s">
        <v>8</v>
      </c>
      <c r="D267" s="2" t="s">
        <v>14</v>
      </c>
      <c r="E267" s="2">
        <v>1450</v>
      </c>
      <c r="F267" s="2">
        <v>19</v>
      </c>
      <c r="G267" s="8">
        <f t="shared" si="4"/>
        <v>27550</v>
      </c>
    </row>
    <row r="268" spans="1:7" ht="15.6" x14ac:dyDescent="0.3">
      <c r="A268" s="4">
        <v>44895</v>
      </c>
      <c r="B268" s="1" t="s">
        <v>23</v>
      </c>
      <c r="C268" s="1" t="s">
        <v>22</v>
      </c>
      <c r="D268" s="1" t="s">
        <v>11</v>
      </c>
      <c r="E268" s="1">
        <v>450</v>
      </c>
      <c r="F268" s="1">
        <v>47</v>
      </c>
      <c r="G268" s="7">
        <f t="shared" si="4"/>
        <v>21150</v>
      </c>
    </row>
    <row r="269" spans="1:7" ht="15.6" x14ac:dyDescent="0.3">
      <c r="A269" s="5">
        <v>44899</v>
      </c>
      <c r="B269" s="2" t="s">
        <v>12</v>
      </c>
      <c r="C269" s="2" t="s">
        <v>16</v>
      </c>
      <c r="D269" s="2" t="s">
        <v>11</v>
      </c>
      <c r="E269" s="2">
        <v>1499</v>
      </c>
      <c r="F269" s="2">
        <v>37</v>
      </c>
      <c r="G269" s="8">
        <f t="shared" si="4"/>
        <v>55463</v>
      </c>
    </row>
    <row r="270" spans="1:7" ht="15.6" x14ac:dyDescent="0.3">
      <c r="A270" s="4">
        <v>44903</v>
      </c>
      <c r="B270" s="1" t="s">
        <v>19</v>
      </c>
      <c r="C270" s="1" t="s">
        <v>20</v>
      </c>
      <c r="D270" s="1" t="s">
        <v>11</v>
      </c>
      <c r="E270" s="1">
        <v>79999</v>
      </c>
      <c r="F270" s="1">
        <v>4</v>
      </c>
      <c r="G270" s="7">
        <f t="shared" si="4"/>
        <v>319996</v>
      </c>
    </row>
    <row r="271" spans="1:7" ht="15.6" x14ac:dyDescent="0.3">
      <c r="A271" s="5">
        <v>44907</v>
      </c>
      <c r="B271" s="2" t="s">
        <v>12</v>
      </c>
      <c r="C271" s="2" t="s">
        <v>17</v>
      </c>
      <c r="D271" s="2" t="s">
        <v>21</v>
      </c>
      <c r="E271" s="2">
        <v>999</v>
      </c>
      <c r="F271" s="2">
        <v>45</v>
      </c>
      <c r="G271" s="8">
        <f t="shared" si="4"/>
        <v>44955</v>
      </c>
    </row>
    <row r="272" spans="1:7" ht="15.6" x14ac:dyDescent="0.3">
      <c r="A272" s="4">
        <v>44911</v>
      </c>
      <c r="B272" s="1" t="s">
        <v>19</v>
      </c>
      <c r="C272" s="1" t="s">
        <v>20</v>
      </c>
      <c r="D272" s="1" t="s">
        <v>9</v>
      </c>
      <c r="E272" s="1">
        <v>52000</v>
      </c>
      <c r="F272" s="1">
        <v>15</v>
      </c>
      <c r="G272" s="7">
        <f t="shared" si="4"/>
        <v>780000</v>
      </c>
    </row>
    <row r="273" spans="1:7" ht="15.6" x14ac:dyDescent="0.3">
      <c r="A273" s="5">
        <v>44915</v>
      </c>
      <c r="B273" s="2" t="s">
        <v>10</v>
      </c>
      <c r="C273" s="2" t="s">
        <v>20</v>
      </c>
      <c r="D273" s="2" t="s">
        <v>18</v>
      </c>
      <c r="E273" s="2">
        <v>52000</v>
      </c>
      <c r="F273" s="2">
        <v>39</v>
      </c>
      <c r="G273" s="8">
        <f t="shared" si="4"/>
        <v>2028000</v>
      </c>
    </row>
    <row r="274" spans="1:7" ht="15.6" x14ac:dyDescent="0.3">
      <c r="A274" s="4">
        <v>44919</v>
      </c>
      <c r="B274" s="1" t="s">
        <v>12</v>
      </c>
      <c r="C274" s="1" t="s">
        <v>13</v>
      </c>
      <c r="D274" s="1" t="s">
        <v>18</v>
      </c>
      <c r="E274" s="1">
        <v>960</v>
      </c>
      <c r="F274" s="1">
        <v>33</v>
      </c>
      <c r="G274" s="7">
        <f t="shared" si="4"/>
        <v>31680</v>
      </c>
    </row>
    <row r="275" spans="1:7" ht="15.6" x14ac:dyDescent="0.3">
      <c r="A275" s="6">
        <v>44923</v>
      </c>
      <c r="B275" s="3" t="s">
        <v>19</v>
      </c>
      <c r="C275" s="3" t="s">
        <v>13</v>
      </c>
      <c r="D275" s="3" t="s">
        <v>14</v>
      </c>
      <c r="E275" s="3">
        <v>1450</v>
      </c>
      <c r="F275" s="3">
        <v>34</v>
      </c>
      <c r="G275" s="9">
        <f t="shared" si="4"/>
        <v>49300</v>
      </c>
    </row>
    <row r="276" spans="1:7" ht="15.6" x14ac:dyDescent="0.3">
      <c r="A276" s="4">
        <v>44913</v>
      </c>
      <c r="B276" s="1" t="s">
        <v>23</v>
      </c>
      <c r="C276" s="1" t="s">
        <v>22</v>
      </c>
      <c r="D276" s="1" t="s">
        <v>24</v>
      </c>
      <c r="E276" s="1">
        <v>2500</v>
      </c>
      <c r="F276" s="1">
        <v>100</v>
      </c>
      <c r="G276" s="7">
        <f t="shared" si="4"/>
        <v>250000</v>
      </c>
    </row>
    <row r="277" spans="1:7" ht="15.6" x14ac:dyDescent="0.3">
      <c r="A277" s="5">
        <v>44917</v>
      </c>
      <c r="B277" s="2" t="s">
        <v>10</v>
      </c>
      <c r="C277" s="2" t="s">
        <v>16</v>
      </c>
      <c r="D277" s="2" t="s">
        <v>24</v>
      </c>
      <c r="E277" s="2">
        <v>86540</v>
      </c>
      <c r="F277" s="2">
        <v>6</v>
      </c>
      <c r="G277" s="8">
        <f t="shared" si="4"/>
        <v>519240</v>
      </c>
    </row>
    <row r="278" spans="1:7" ht="15.6" x14ac:dyDescent="0.3">
      <c r="A278" s="4">
        <v>44922</v>
      </c>
      <c r="B278" s="1" t="s">
        <v>15</v>
      </c>
      <c r="C278" s="1" t="s">
        <v>17</v>
      </c>
      <c r="D278" s="1" t="s">
        <v>24</v>
      </c>
      <c r="E278" s="1">
        <v>550</v>
      </c>
      <c r="F278" s="1">
        <v>44</v>
      </c>
      <c r="G278" s="7">
        <f t="shared" si="4"/>
        <v>24200</v>
      </c>
    </row>
    <row r="279" spans="1:7" ht="15.6" x14ac:dyDescent="0.3">
      <c r="A279" s="13">
        <v>44925</v>
      </c>
      <c r="B279" s="14" t="s">
        <v>12</v>
      </c>
      <c r="C279" s="14" t="s">
        <v>20</v>
      </c>
      <c r="D279" s="14" t="s">
        <v>24</v>
      </c>
      <c r="E279" s="14">
        <v>65400</v>
      </c>
      <c r="F279" s="14">
        <v>19</v>
      </c>
      <c r="G279" s="15">
        <f t="shared" si="4"/>
        <v>1242600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12BA4-9A10-4F2D-A873-8172FE51F7E7}">
  <dimension ref="A1:C44"/>
  <sheetViews>
    <sheetView workbookViewId="0">
      <selection activeCell="B20" sqref="B20:B25"/>
    </sheetView>
  </sheetViews>
  <sheetFormatPr defaultRowHeight="14.4" x14ac:dyDescent="0.3"/>
  <cols>
    <col min="1" max="1" width="14.6640625" bestFit="1" customWidth="1"/>
    <col min="2" max="2" width="13.5546875" bestFit="1" customWidth="1"/>
    <col min="3" max="3" width="16" bestFit="1" customWidth="1"/>
  </cols>
  <sheetData>
    <row r="1" spans="1:2" x14ac:dyDescent="0.3">
      <c r="A1" s="16" t="s">
        <v>25</v>
      </c>
      <c r="B1" t="s">
        <v>39</v>
      </c>
    </row>
    <row r="2" spans="1:2" x14ac:dyDescent="0.3">
      <c r="A2" s="17" t="s">
        <v>27</v>
      </c>
      <c r="B2" s="19">
        <v>1134731</v>
      </c>
    </row>
    <row r="3" spans="1:2" x14ac:dyDescent="0.3">
      <c r="A3" s="17" t="s">
        <v>28</v>
      </c>
      <c r="B3" s="19">
        <v>2959241</v>
      </c>
    </row>
    <row r="4" spans="1:2" x14ac:dyDescent="0.3">
      <c r="A4" s="17" t="s">
        <v>29</v>
      </c>
      <c r="B4" s="19">
        <v>190952</v>
      </c>
    </row>
    <row r="5" spans="1:2" x14ac:dyDescent="0.3">
      <c r="A5" s="17" t="s">
        <v>30</v>
      </c>
      <c r="B5" s="19">
        <v>282446</v>
      </c>
    </row>
    <row r="6" spans="1:2" x14ac:dyDescent="0.3">
      <c r="A6" s="17" t="s">
        <v>31</v>
      </c>
      <c r="B6" s="19">
        <v>749869</v>
      </c>
    </row>
    <row r="7" spans="1:2" x14ac:dyDescent="0.3">
      <c r="A7" s="17" t="s">
        <v>32</v>
      </c>
      <c r="B7" s="19">
        <v>425409</v>
      </c>
    </row>
    <row r="8" spans="1:2" x14ac:dyDescent="0.3">
      <c r="A8" s="17" t="s">
        <v>33</v>
      </c>
      <c r="B8" s="19">
        <v>2655948</v>
      </c>
    </row>
    <row r="9" spans="1:2" x14ac:dyDescent="0.3">
      <c r="A9" s="17" t="s">
        <v>34</v>
      </c>
      <c r="B9" s="19">
        <v>1571476</v>
      </c>
    </row>
    <row r="10" spans="1:2" x14ac:dyDescent="0.3">
      <c r="A10" s="17" t="s">
        <v>35</v>
      </c>
      <c r="B10" s="19">
        <v>1324327</v>
      </c>
    </row>
    <row r="11" spans="1:2" x14ac:dyDescent="0.3">
      <c r="A11" s="17" t="s">
        <v>36</v>
      </c>
      <c r="B11" s="19">
        <v>4179650</v>
      </c>
    </row>
    <row r="12" spans="1:2" x14ac:dyDescent="0.3">
      <c r="A12" s="17" t="s">
        <v>37</v>
      </c>
      <c r="B12" s="19">
        <v>109550</v>
      </c>
    </row>
    <row r="13" spans="1:2" x14ac:dyDescent="0.3">
      <c r="A13" s="17" t="s">
        <v>38</v>
      </c>
      <c r="B13" s="19">
        <v>469086</v>
      </c>
    </row>
    <row r="14" spans="1:2" x14ac:dyDescent="0.3">
      <c r="A14" s="17" t="s">
        <v>26</v>
      </c>
      <c r="B14" s="20">
        <v>16052685</v>
      </c>
    </row>
    <row r="19" spans="1:2" x14ac:dyDescent="0.3">
      <c r="A19" s="16" t="s">
        <v>25</v>
      </c>
      <c r="B19" t="s">
        <v>39</v>
      </c>
    </row>
    <row r="20" spans="1:2" x14ac:dyDescent="0.3">
      <c r="A20" s="17" t="s">
        <v>14</v>
      </c>
      <c r="B20" s="19">
        <v>16052685</v>
      </c>
    </row>
    <row r="21" spans="1:2" x14ac:dyDescent="0.3">
      <c r="A21" s="17" t="s">
        <v>26</v>
      </c>
      <c r="B21" s="20">
        <v>16052685</v>
      </c>
    </row>
    <row r="29" spans="1:2" x14ac:dyDescent="0.3">
      <c r="A29" s="16" t="s">
        <v>25</v>
      </c>
      <c r="B29" t="s">
        <v>39</v>
      </c>
    </row>
    <row r="30" spans="1:2" x14ac:dyDescent="0.3">
      <c r="A30" s="17" t="s">
        <v>16</v>
      </c>
      <c r="B30" s="20">
        <v>8033528</v>
      </c>
    </row>
    <row r="31" spans="1:2" x14ac:dyDescent="0.3">
      <c r="A31" s="17" t="s">
        <v>8</v>
      </c>
      <c r="B31" s="20">
        <v>1085262</v>
      </c>
    </row>
    <row r="32" spans="1:2" x14ac:dyDescent="0.3">
      <c r="A32" s="17" t="s">
        <v>20</v>
      </c>
      <c r="B32" s="20">
        <v>5474977</v>
      </c>
    </row>
    <row r="33" spans="1:3" x14ac:dyDescent="0.3">
      <c r="A33" s="17" t="s">
        <v>13</v>
      </c>
      <c r="B33" s="20">
        <v>481552</v>
      </c>
    </row>
    <row r="34" spans="1:3" x14ac:dyDescent="0.3">
      <c r="A34" s="17" t="s">
        <v>17</v>
      </c>
      <c r="B34" s="20">
        <v>492878</v>
      </c>
    </row>
    <row r="35" spans="1:3" x14ac:dyDescent="0.3">
      <c r="A35" s="17" t="s">
        <v>22</v>
      </c>
      <c r="B35" s="20">
        <v>484488</v>
      </c>
    </row>
    <row r="36" spans="1:3" x14ac:dyDescent="0.3">
      <c r="A36" s="17" t="s">
        <v>26</v>
      </c>
      <c r="B36" s="20">
        <v>16052685</v>
      </c>
    </row>
    <row r="39" spans="1:3" x14ac:dyDescent="0.3">
      <c r="A39" t="s">
        <v>39</v>
      </c>
    </row>
    <row r="40" spans="1:3" x14ac:dyDescent="0.3">
      <c r="A40" s="20">
        <v>16052685</v>
      </c>
      <c r="C40" s="18">
        <f>GETPIVOTDATA("[Measures].[Sum of Amount]",$A$39)</f>
        <v>16052685</v>
      </c>
    </row>
    <row r="43" spans="1:3" x14ac:dyDescent="0.3">
      <c r="A43" t="s">
        <v>40</v>
      </c>
    </row>
    <row r="44" spans="1:3" x14ac:dyDescent="0.3">
      <c r="A44" s="20">
        <v>56</v>
      </c>
      <c r="C44">
        <f>GETPIVOTDATA("[Measures].[Count of Amount]",$A$43)</f>
        <v>56</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72DD7-DBC0-49FD-B12B-E81A1ADC5EBA}">
  <dimension ref="A1"/>
  <sheetViews>
    <sheetView showGridLines="0" tabSelected="1" zoomScale="76" zoomScaleNormal="72" workbookViewId="0"/>
  </sheetViews>
  <sheetFormatPr defaultRowHeight="14.4" x14ac:dyDescent="0.3"/>
  <cols>
    <col min="3" max="3" width="8.441406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durga prasad</dc:creator>
  <cp:lastModifiedBy>Bharath Somala</cp:lastModifiedBy>
  <dcterms:created xsi:type="dcterms:W3CDTF">2025-01-28T12:35:12Z</dcterms:created>
  <dcterms:modified xsi:type="dcterms:W3CDTF">2025-11-17T11:21:56Z</dcterms:modified>
</cp:coreProperties>
</file>